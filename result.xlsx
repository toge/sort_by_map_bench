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<sst xmlns="http://schemas.openxmlformats.org/spreadsheetml/2006/main" count="267" uniqueCount="42">
  <si>
    <t xml:space="preserve">int int</t>
  </si>
  <si>
    <t xml:space="preserve">baseline</t>
  </si>
  <si>
    <t xml:space="preserve">std::map</t>
  </si>
  <si>
    <t xml:space="preserve">std::flat_map</t>
  </si>
  <si>
    <t xml:space="preserve">absl::btree_map</t>
  </si>
  <si>
    <t xml:space="preserve">int double</t>
  </si>
  <si>
    <t xml:space="preserve">double int</t>
  </si>
  <si>
    <t xml:space="preserve">doubler double</t>
  </si>
  <si>
    <t xml:space="preserve">int std::string</t>
  </si>
  <si>
    <t xml:space="preserve">double std::string</t>
  </si>
  <si>
    <t xml:space="preserve">std::string int</t>
  </si>
  <si>
    <t xml:space="preserve">std::string std::string</t>
  </si>
  <si>
    <t xml:space="preserve">double double</t>
  </si>
  <si>
    <t xml:space="preserve">int string</t>
  </si>
  <si>
    <t xml:space="preserve">double string</t>
  </si>
  <si>
    <t xml:space="preserve">string int</t>
  </si>
  <si>
    <t xml:space="preserve">string string</t>
  </si>
  <si>
    <t xml:space="preserve">e</t>
  </si>
  <si>
    <t xml:space="preserve">G1</t>
  </si>
  <si>
    <t xml:space="preserve">G2</t>
  </si>
  <si>
    <t xml:space="preserve">DURATION</t>
  </si>
  <si>
    <t xml:space="preserve">INT_INT_10          </t>
  </si>
  <si>
    <t xml:space="preserve"> ASBEIL_BTREE    </t>
  </si>
  <si>
    <t xml:space="preserve"> </t>
  </si>
  <si>
    <t xml:space="preserve"> Baseline        </t>
  </si>
  <si>
    <t xml:space="preserve"> STD_FLAT_MAP    </t>
  </si>
  <si>
    <t xml:space="preserve"> STD_MAP         </t>
  </si>
  <si>
    <t xml:space="preserve">INT_INT_100         </t>
  </si>
  <si>
    <t xml:space="preserve">INT_INT_1000        </t>
  </si>
  <si>
    <t xml:space="preserve">INT_INT_10000       </t>
  </si>
  <si>
    <t xml:space="preserve">INT_STRING_10       </t>
  </si>
  <si>
    <t xml:space="preserve">INT_STRING_100      </t>
  </si>
  <si>
    <t xml:space="preserve">INT_STRING_1000     </t>
  </si>
  <si>
    <t xml:space="preserve">INT_STRING_10000    </t>
  </si>
  <si>
    <t xml:space="preserve">STRING_INT_10       </t>
  </si>
  <si>
    <t xml:space="preserve">STRING_INT_100      </t>
  </si>
  <si>
    <t xml:space="preserve">STRING_INT_1000     </t>
  </si>
  <si>
    <t xml:space="preserve">STRING_INT_10000    </t>
  </si>
  <si>
    <t xml:space="preserve">STRING_STRING_10    </t>
  </si>
  <si>
    <t xml:space="preserve">STRING_STRING_100   </t>
  </si>
  <si>
    <t xml:space="preserve">STRING_STRING_1000  </t>
  </si>
  <si>
    <t xml:space="preserve">STRING_STRING_10000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</si>
</sst>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8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DejaVu Sans"/>
      <family val="2"/>
    </font>
    <font>
      <b val="true"/>
      <sz val="10"/>
      <name val="Noto Sans CJK J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std::map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Sheet1!$B$8:$G$8</c:f>
              <c:strCach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strCache>
            </c:strRef>
          </c:cat>
          <c:val>
            <c:numRef>
              <c:f>Sheet1!$B$9:$G$9</c:f>
              <c:numCache>
                <c:formatCode>0.00</c:formatCode>
                <c:ptCount val="6"/>
                <c:pt idx="0">
                  <c:v>86.2</c:v>
                </c:pt>
                <c:pt idx="1">
                  <c:v>72.32</c:v>
                </c:pt>
                <c:pt idx="2">
                  <c:v>67.13</c:v>
                </c:pt>
                <c:pt idx="3">
                  <c:v>76.963</c:v>
                </c:pt>
                <c:pt idx="4">
                  <c:v>115.8106</c:v>
                </c:pt>
                <c:pt idx="5">
                  <c:v>138.52886</c:v>
                </c:pt>
              </c:numCache>
            </c:numRef>
          </c:val>
        </c:ser>
        <c:ser>
          <c:idx val="1"/>
          <c:order val="1"/>
          <c:tx>
            <c:strRef>
              <c:f>Sheet1!$A$10</c:f>
              <c:strCache>
                <c:ptCount val="1"/>
                <c:pt idx="0">
                  <c:v>std::flat_map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Sheet1!$B$8:$G$8</c:f>
              <c:strCach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strCache>
            </c:strRef>
          </c:cat>
          <c:val>
            <c:numRef>
              <c:f>Sheet1!$B$10:$G$10</c:f>
              <c:numCache>
                <c:formatCode>0.00</c:formatCode>
                <c:ptCount val="6"/>
                <c:pt idx="0">
                  <c:v>146.3</c:v>
                </c:pt>
                <c:pt idx="1">
                  <c:v>45.68</c:v>
                </c:pt>
                <c:pt idx="2">
                  <c:v>43.89</c:v>
                </c:pt>
                <c:pt idx="3">
                  <c:v>75.73</c:v>
                </c:pt>
                <c:pt idx="4">
                  <c:v>241.9964</c:v>
                </c:pt>
                <c:pt idx="5">
                  <c:v>668.67716</c:v>
                </c:pt>
              </c:numCache>
            </c:numRef>
          </c:val>
        </c:ser>
        <c:ser>
          <c:idx val="2"/>
          <c:order val="2"/>
          <c:tx>
            <c:strRef>
              <c:f>Sheet1!$A$11</c:f>
              <c:strCache>
                <c:ptCount val="1"/>
                <c:pt idx="0">
                  <c:v>absl::btree_map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Sheet1!$B$8:$G$8</c:f>
              <c:strCach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strCache>
            </c:strRef>
          </c:cat>
          <c:val>
            <c:numRef>
              <c:f>Sheet1!$B$11:$G$11</c:f>
              <c:numCache>
                <c:formatCode>0.00</c:formatCode>
                <c:ptCount val="6"/>
                <c:pt idx="0">
                  <c:v>34.1</c:v>
                </c:pt>
                <c:pt idx="1">
                  <c:v>43.08</c:v>
                </c:pt>
                <c:pt idx="2">
                  <c:v>43.69</c:v>
                </c:pt>
                <c:pt idx="3">
                  <c:v>50.093</c:v>
                </c:pt>
                <c:pt idx="4">
                  <c:v>57.7666</c:v>
                </c:pt>
                <c:pt idx="5">
                  <c:v>667.83301</c:v>
                </c:pt>
              </c:numCache>
            </c:numRef>
          </c:val>
        </c:ser>
        <c:gapWidth val="100"/>
        <c:overlap val="0"/>
        <c:axId val="95565950"/>
        <c:axId val="74480100"/>
      </c:barChart>
      <c:catAx>
        <c:axId val="9556595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4480100"/>
        <c:crosses val="autoZero"/>
        <c:auto val="1"/>
        <c:lblAlgn val="ctr"/>
        <c:lblOffset val="100"/>
        <c:noMultiLvlLbl val="0"/>
      </c:catAx>
      <c:valAx>
        <c:axId val="744801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556595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</xdr:colOff>
      <xdr:row>11</xdr:row>
      <xdr:rowOff>36360</xdr:rowOff>
    </xdr:from>
    <xdr:to>
      <xdr:col>6</xdr:col>
      <xdr:colOff>708840</xdr:colOff>
      <xdr:row>31</xdr:row>
      <xdr:rowOff>24480</xdr:rowOff>
    </xdr:to>
    <xdr:graphicFrame>
      <xdr:nvGraphicFramePr>
        <xdr:cNvPr id="1" name=""/>
        <xdr:cNvGraphicFramePr/>
      </xdr:nvGraphicFramePr>
      <xdr:xfrm>
        <a:off x="36000" y="1824480"/>
        <a:ext cx="576000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4" activeCellId="0" sqref="D9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52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B2" s="1" t="n">
        <v>10</v>
      </c>
      <c r="C2" s="1" t="n">
        <v>50</v>
      </c>
      <c r="D2" s="1" t="n">
        <v>100</v>
      </c>
      <c r="E2" s="1" t="n">
        <v>1000</v>
      </c>
      <c r="F2" s="1" t="n">
        <v>10000</v>
      </c>
      <c r="G2" s="1" t="n">
        <v>100000</v>
      </c>
      <c r="H2" s="1" t="n">
        <v>1000000</v>
      </c>
    </row>
    <row r="3" customFormat="false" ht="12.8" hidden="false" customHeight="false" outlineLevel="0" collapsed="false">
      <c r="A3" s="3" t="s">
        <v>1</v>
      </c>
      <c r="B3" s="1" t="n">
        <v>551</v>
      </c>
      <c r="C3" s="1" t="n">
        <v>411</v>
      </c>
      <c r="D3" s="1" t="n">
        <v>661</v>
      </c>
      <c r="E3" s="1" t="n">
        <v>5621</v>
      </c>
      <c r="F3" s="1" t="n">
        <v>55002</v>
      </c>
      <c r="G3" s="1" t="n">
        <v>555464</v>
      </c>
      <c r="H3" s="1" t="n">
        <v>5567613</v>
      </c>
    </row>
    <row r="4" customFormat="false" ht="12.8" hidden="false" customHeight="false" outlineLevel="0" collapsed="false">
      <c r="A4" s="3" t="s">
        <v>2</v>
      </c>
      <c r="B4" s="1" t="n">
        <v>1413</v>
      </c>
      <c r="C4" s="1" t="n">
        <v>4027</v>
      </c>
      <c r="D4" s="1" t="n">
        <v>7374</v>
      </c>
      <c r="E4" s="1" t="n">
        <v>82584</v>
      </c>
      <c r="F4" s="1" t="n">
        <v>1213108</v>
      </c>
      <c r="G4" s="1" t="n">
        <v>14408350</v>
      </c>
      <c r="H4" s="1" t="n">
        <v>140275176</v>
      </c>
    </row>
    <row r="5" customFormat="false" ht="12.8" hidden="false" customHeight="false" outlineLevel="0" collapsed="false">
      <c r="A5" s="3" t="s">
        <v>3</v>
      </c>
      <c r="B5" s="1" t="n">
        <v>2014</v>
      </c>
      <c r="C5" s="1" t="n">
        <v>2695</v>
      </c>
      <c r="D5" s="1" t="n">
        <v>5050</v>
      </c>
      <c r="E5" s="1" t="n">
        <v>81351</v>
      </c>
      <c r="F5" s="1" t="n">
        <v>2474966</v>
      </c>
      <c r="G5" s="1" t="n">
        <v>67423180</v>
      </c>
      <c r="H5" s="1" t="n">
        <v>182982361</v>
      </c>
    </row>
    <row r="6" customFormat="false" ht="12.8" hidden="false" customHeight="false" outlineLevel="0" collapsed="false">
      <c r="A6" s="3" t="s">
        <v>4</v>
      </c>
      <c r="B6" s="1" t="n">
        <v>892</v>
      </c>
      <c r="C6" s="1" t="n">
        <v>2565</v>
      </c>
      <c r="D6" s="1" t="n">
        <v>5030</v>
      </c>
      <c r="E6" s="1" t="n">
        <v>55714</v>
      </c>
      <c r="F6" s="1" t="n">
        <v>632668</v>
      </c>
      <c r="G6" s="1" t="n">
        <v>67338765</v>
      </c>
      <c r="H6" s="1" t="n">
        <v>61054065</v>
      </c>
    </row>
    <row r="8" customFormat="false" ht="12.8" hidden="false" customHeight="false" outlineLevel="0" collapsed="false">
      <c r="B8" s="1" t="n">
        <v>10</v>
      </c>
      <c r="C8" s="1" t="n">
        <v>50</v>
      </c>
      <c r="D8" s="1" t="n">
        <v>100</v>
      </c>
      <c r="E8" s="1" t="n">
        <v>1000</v>
      </c>
      <c r="F8" s="1" t="n">
        <v>10000</v>
      </c>
      <c r="G8" s="1" t="n">
        <v>100000</v>
      </c>
      <c r="H8" s="1" t="n">
        <v>1000000</v>
      </c>
    </row>
    <row r="9" customFormat="false" ht="12.8" hidden="false" customHeight="false" outlineLevel="0" collapsed="false">
      <c r="A9" s="3" t="s">
        <v>2</v>
      </c>
      <c r="B9" s="4" t="n">
        <f aca="false">(B4-B$3)/B$8</f>
        <v>86.2</v>
      </c>
      <c r="C9" s="4" t="n">
        <f aca="false">(C4-C$3)/C$8</f>
        <v>72.32</v>
      </c>
      <c r="D9" s="4" t="n">
        <f aca="false">(D4-D$3)/D$8</f>
        <v>67.13</v>
      </c>
      <c r="E9" s="4" t="n">
        <f aca="false">(E4-E$3)/E$8</f>
        <v>76.963</v>
      </c>
      <c r="F9" s="4" t="n">
        <f aca="false">(F4-F$3)/F$8</f>
        <v>115.8106</v>
      </c>
      <c r="G9" s="4" t="n">
        <f aca="false">(G4-G$3)/G$8</f>
        <v>138.52886</v>
      </c>
      <c r="H9" s="4" t="n">
        <f aca="false">(H4-H$3)/H$8</f>
        <v>134.707563</v>
      </c>
    </row>
    <row r="10" customFormat="false" ht="12.8" hidden="false" customHeight="false" outlineLevel="0" collapsed="false">
      <c r="A10" s="3" t="s">
        <v>3</v>
      </c>
      <c r="B10" s="4" t="n">
        <f aca="false">(B5-B$3)/B$8</f>
        <v>146.3</v>
      </c>
      <c r="C10" s="4" t="n">
        <f aca="false">(C5-C$3)/C$8</f>
        <v>45.68</v>
      </c>
      <c r="D10" s="4" t="n">
        <f aca="false">(D5-D$3)/D$8</f>
        <v>43.89</v>
      </c>
      <c r="E10" s="4" t="n">
        <f aca="false">(E5-E$3)/E$8</f>
        <v>75.73</v>
      </c>
      <c r="F10" s="4" t="n">
        <f aca="false">(F5-F$3)/F$8</f>
        <v>241.9964</v>
      </c>
      <c r="G10" s="4" t="n">
        <f aca="false">(G5-G$3)/G$8</f>
        <v>668.67716</v>
      </c>
      <c r="H10" s="4" t="n">
        <f aca="false">(H5-H$3)/H$8</f>
        <v>177.414748</v>
      </c>
    </row>
    <row r="11" customFormat="false" ht="12.8" hidden="false" customHeight="false" outlineLevel="0" collapsed="false">
      <c r="A11" s="3" t="s">
        <v>4</v>
      </c>
      <c r="B11" s="5" t="n">
        <f aca="false">(B6-B$3)/B$8</f>
        <v>34.1</v>
      </c>
      <c r="C11" s="5" t="n">
        <f aca="false">(C6-C$3)/C$8</f>
        <v>43.08</v>
      </c>
      <c r="D11" s="5" t="n">
        <f aca="false">(D6-D$3)/D$8</f>
        <v>43.69</v>
      </c>
      <c r="E11" s="5" t="n">
        <f aca="false">(E6-E$3)/E$8</f>
        <v>50.093</v>
      </c>
      <c r="F11" s="5" t="n">
        <f aca="false">(F6-F$3)/F$8</f>
        <v>57.7666</v>
      </c>
      <c r="G11" s="5" t="n">
        <f aca="false">(G6-G$3)/G$8</f>
        <v>667.83301</v>
      </c>
      <c r="H11" s="5" t="n">
        <f aca="false">(H6-H$3)/H$8</f>
        <v>55.486452</v>
      </c>
    </row>
    <row r="22" customFormat="false" ht="12.8" hidden="false" customHeight="false" outlineLevel="0" collapsed="false">
      <c r="A22" s="3" t="s">
        <v>5</v>
      </c>
    </row>
    <row r="23" customFormat="false" ht="12.8" hidden="false" customHeight="false" outlineLevel="0" collapsed="false">
      <c r="A23" s="3" t="s">
        <v>6</v>
      </c>
    </row>
    <row r="24" customFormat="false" ht="12.8" hidden="false" customHeight="false" outlineLevel="0" collapsed="false">
      <c r="A24" s="3" t="s">
        <v>7</v>
      </c>
    </row>
    <row r="25" customFormat="false" ht="12.8" hidden="false" customHeight="false" outlineLevel="0" collapsed="false">
      <c r="A25" s="3" t="s">
        <v>8</v>
      </c>
    </row>
    <row r="26" customFormat="false" ht="12.8" hidden="false" customHeight="false" outlineLevel="0" collapsed="false">
      <c r="A26" s="3" t="s">
        <v>9</v>
      </c>
    </row>
    <row r="27" customFormat="false" ht="12.8" hidden="false" customHeight="false" outlineLevel="0" collapsed="false">
      <c r="A27" s="3" t="s">
        <v>10</v>
      </c>
    </row>
    <row r="28" customFormat="false" ht="12.8" hidden="false" customHeight="false" outlineLevel="0" collapsed="false">
      <c r="A28" s="3" t="s">
        <v>11</v>
      </c>
    </row>
    <row r="34" customFormat="false" ht="12.8" hidden="false" customHeight="false" outlineLevel="0" collapsed="false">
      <c r="A34" s="2" t="s">
        <v>5</v>
      </c>
    </row>
    <row r="35" customFormat="false" ht="12.8" hidden="false" customHeight="false" outlineLevel="0" collapsed="false">
      <c r="B35" s="1" t="n">
        <v>10</v>
      </c>
      <c r="C35" s="1" t="n">
        <v>50</v>
      </c>
      <c r="D35" s="1" t="n">
        <v>100</v>
      </c>
      <c r="E35" s="1" t="n">
        <v>1000</v>
      </c>
      <c r="F35" s="1" t="n">
        <v>10000</v>
      </c>
      <c r="G35" s="1" t="n">
        <v>100000</v>
      </c>
      <c r="H35" s="1" t="n">
        <v>1000000</v>
      </c>
    </row>
    <row r="36" customFormat="false" ht="12.8" hidden="false" customHeight="false" outlineLevel="0" collapsed="false">
      <c r="A36" s="3" t="s">
        <v>1</v>
      </c>
      <c r="B36" s="1" t="n">
        <v>200</v>
      </c>
      <c r="C36" s="1" t="n">
        <v>391</v>
      </c>
      <c r="D36" s="1" t="n">
        <v>642</v>
      </c>
      <c r="E36" s="1" t="n">
        <v>5611</v>
      </c>
      <c r="F36" s="1" t="n">
        <v>54982</v>
      </c>
      <c r="G36" s="1" t="n">
        <v>553390</v>
      </c>
      <c r="H36" s="1" t="n">
        <v>5552225</v>
      </c>
    </row>
    <row r="37" customFormat="false" ht="12.8" hidden="false" customHeight="false" outlineLevel="0" collapsed="false">
      <c r="A37" s="3" t="s">
        <v>2</v>
      </c>
      <c r="B37" s="1" t="n">
        <v>2014</v>
      </c>
      <c r="C37" s="1" t="n">
        <v>4629</v>
      </c>
      <c r="D37" s="1" t="n">
        <v>7955</v>
      </c>
      <c r="E37" s="1" t="n">
        <v>83325</v>
      </c>
      <c r="F37" s="1" t="n">
        <v>1032582</v>
      </c>
      <c r="G37" s="1" t="n">
        <v>14052167</v>
      </c>
      <c r="H37" s="1" t="n">
        <v>146332071</v>
      </c>
    </row>
    <row r="38" customFormat="false" ht="12.8" hidden="false" customHeight="false" outlineLevel="0" collapsed="false">
      <c r="A38" s="3" t="s">
        <v>3</v>
      </c>
      <c r="B38" s="1" t="n">
        <v>1273</v>
      </c>
      <c r="C38" s="1" t="n">
        <v>2645</v>
      </c>
      <c r="D38" s="1" t="n">
        <v>4990</v>
      </c>
      <c r="E38" s="1" t="n">
        <v>94116</v>
      </c>
      <c r="F38" s="1" t="n">
        <v>3512758</v>
      </c>
      <c r="G38" s="1" t="n">
        <v>104819570</v>
      </c>
      <c r="H38" s="1" t="n">
        <v>232554093</v>
      </c>
    </row>
    <row r="39" customFormat="false" ht="12.8" hidden="false" customHeight="false" outlineLevel="0" collapsed="false">
      <c r="A39" s="3" t="s">
        <v>4</v>
      </c>
      <c r="B39" s="1" t="n">
        <v>1112</v>
      </c>
      <c r="C39" s="1" t="n">
        <v>3386</v>
      </c>
      <c r="D39" s="1" t="n">
        <v>5390</v>
      </c>
      <c r="E39" s="1" t="n">
        <v>62326</v>
      </c>
      <c r="F39" s="1" t="n">
        <v>738485</v>
      </c>
      <c r="G39" s="1" t="n">
        <v>7877834</v>
      </c>
      <c r="H39" s="1" t="n">
        <v>71722342</v>
      </c>
    </row>
    <row r="41" customFormat="false" ht="12.8" hidden="false" customHeight="false" outlineLevel="0" collapsed="false">
      <c r="B41" s="1" t="n">
        <v>10</v>
      </c>
      <c r="C41" s="1" t="n">
        <v>50</v>
      </c>
      <c r="D41" s="1" t="n">
        <v>100</v>
      </c>
      <c r="E41" s="1" t="n">
        <v>1000</v>
      </c>
      <c r="F41" s="1" t="n">
        <v>10000</v>
      </c>
      <c r="G41" s="1" t="n">
        <v>100000</v>
      </c>
      <c r="H41" s="1" t="n">
        <v>1000000</v>
      </c>
    </row>
    <row r="42" customFormat="false" ht="12.8" hidden="false" customHeight="false" outlineLevel="0" collapsed="false">
      <c r="A42" s="3" t="s">
        <v>2</v>
      </c>
      <c r="B42" s="4" t="n">
        <f aca="false">(B37-B$35)/B$8</f>
        <v>200.4</v>
      </c>
      <c r="C42" s="4" t="n">
        <f aca="false">(C37-C$35)/C$8</f>
        <v>91.58</v>
      </c>
      <c r="D42" s="4" t="n">
        <f aca="false">(D37-D$35)/D$8</f>
        <v>78.55</v>
      </c>
      <c r="E42" s="4" t="n">
        <f aca="false">(E37-E$35)/E$8</f>
        <v>82.325</v>
      </c>
      <c r="F42" s="4" t="n">
        <f aca="false">(F37-F$35)/F$8</f>
        <v>102.2582</v>
      </c>
      <c r="G42" s="4" t="n">
        <f aca="false">(G37-G$35)/G$8</f>
        <v>139.52167</v>
      </c>
      <c r="H42" s="4" t="n">
        <f aca="false">(H37-H$35)/H$8</f>
        <v>145.332071</v>
      </c>
    </row>
    <row r="43" customFormat="false" ht="12.8" hidden="false" customHeight="false" outlineLevel="0" collapsed="false">
      <c r="A43" s="3" t="s">
        <v>3</v>
      </c>
      <c r="B43" s="4" t="n">
        <f aca="false">(B38-B$35)/B$8</f>
        <v>126.3</v>
      </c>
      <c r="C43" s="5" t="n">
        <f aca="false">(C38-C$35)/C$8</f>
        <v>51.9</v>
      </c>
      <c r="D43" s="5" t="n">
        <f aca="false">(D38-D$35)/D$8</f>
        <v>48.9</v>
      </c>
      <c r="E43" s="4" t="n">
        <f aca="false">(E38-E$35)/E$8</f>
        <v>93.116</v>
      </c>
      <c r="F43" s="4" t="n">
        <f aca="false">(F38-F$35)/F$8</f>
        <v>350.2758</v>
      </c>
      <c r="G43" s="4" t="n">
        <f aca="false">(G38-G$35)/G$8</f>
        <v>1047.1957</v>
      </c>
      <c r="H43" s="4" t="n">
        <f aca="false">(H38-H$35)/H$8</f>
        <v>231.554093</v>
      </c>
    </row>
    <row r="44" customFormat="false" ht="12.8" hidden="false" customHeight="false" outlineLevel="0" collapsed="false">
      <c r="A44" s="3" t="s">
        <v>4</v>
      </c>
      <c r="B44" s="5" t="n">
        <f aca="false">(B39-B$35)/B$8</f>
        <v>110.2</v>
      </c>
      <c r="C44" s="4" t="n">
        <f aca="false">(C39-C$35)/C$8</f>
        <v>66.72</v>
      </c>
      <c r="D44" s="4" t="n">
        <f aca="false">(D39-D$35)/D$8</f>
        <v>52.9</v>
      </c>
      <c r="E44" s="5" t="n">
        <f aca="false">(E39-E$35)/E$8</f>
        <v>61.326</v>
      </c>
      <c r="F44" s="5" t="n">
        <f aca="false">(F39-F$35)/F$8</f>
        <v>72.8485</v>
      </c>
      <c r="G44" s="5" t="n">
        <f aca="false">(G39-G$35)/G$8</f>
        <v>77.77834</v>
      </c>
      <c r="H44" s="5" t="n">
        <f aca="false">(H39-H$35)/H$8</f>
        <v>70.722342</v>
      </c>
    </row>
    <row r="46" customFormat="false" ht="12.8" hidden="false" customHeight="false" outlineLevel="0" collapsed="false">
      <c r="A46" s="2" t="s">
        <v>6</v>
      </c>
    </row>
    <row r="47" customFormat="false" ht="12.8" hidden="false" customHeight="false" outlineLevel="0" collapsed="false">
      <c r="B47" s="1" t="n">
        <v>10</v>
      </c>
      <c r="C47" s="1" t="n">
        <v>50</v>
      </c>
      <c r="D47" s="1" t="n">
        <v>100</v>
      </c>
      <c r="E47" s="1" t="n">
        <v>1000</v>
      </c>
      <c r="F47" s="1" t="n">
        <v>10000</v>
      </c>
      <c r="G47" s="1" t="n">
        <v>100000</v>
      </c>
      <c r="H47" s="1" t="n">
        <v>1000000</v>
      </c>
    </row>
    <row r="48" customFormat="false" ht="12.8" hidden="false" customHeight="false" outlineLevel="0" collapsed="false">
      <c r="A48" s="3" t="s">
        <v>1</v>
      </c>
      <c r="B48" s="1" t="n">
        <v>251</v>
      </c>
      <c r="C48" s="1" t="n">
        <v>401</v>
      </c>
      <c r="D48" s="1" t="n">
        <v>661</v>
      </c>
      <c r="E48" s="1" t="n">
        <v>5630</v>
      </c>
      <c r="F48" s="1" t="n">
        <v>55063</v>
      </c>
      <c r="G48" s="1" t="n">
        <v>548731</v>
      </c>
      <c r="H48" s="1" t="n">
        <v>5523051</v>
      </c>
    </row>
    <row r="49" customFormat="false" ht="12.8" hidden="false" customHeight="false" outlineLevel="0" collapsed="false">
      <c r="A49" s="3" t="s">
        <v>2</v>
      </c>
      <c r="B49" s="1" t="n">
        <v>2174</v>
      </c>
      <c r="C49" s="1" t="n">
        <v>5220</v>
      </c>
      <c r="D49" s="1" t="n">
        <v>8335</v>
      </c>
      <c r="E49" s="1" t="n">
        <v>96540</v>
      </c>
      <c r="F49" s="1" t="n">
        <v>1214230</v>
      </c>
      <c r="G49" s="1" t="n">
        <v>16824538</v>
      </c>
      <c r="H49" s="1" t="n">
        <v>176552822</v>
      </c>
    </row>
    <row r="50" customFormat="false" ht="12.8" hidden="false" customHeight="false" outlineLevel="0" collapsed="false">
      <c r="A50" s="3" t="s">
        <v>3</v>
      </c>
      <c r="B50" s="1" t="n">
        <v>1223</v>
      </c>
      <c r="C50" s="1" t="n">
        <v>2726</v>
      </c>
      <c r="D50" s="1" t="n">
        <v>5710</v>
      </c>
      <c r="E50" s="1" t="n">
        <v>108982</v>
      </c>
      <c r="F50" s="1" t="n">
        <v>3741615</v>
      </c>
      <c r="G50" s="1" t="n">
        <v>98928324</v>
      </c>
      <c r="H50" s="1" t="n">
        <v>257198766</v>
      </c>
    </row>
    <row r="51" customFormat="false" ht="12.8" hidden="false" customHeight="false" outlineLevel="0" collapsed="false">
      <c r="A51" s="3" t="s">
        <v>4</v>
      </c>
      <c r="B51" s="1" t="n">
        <v>761</v>
      </c>
      <c r="C51" s="1" t="n">
        <v>3937</v>
      </c>
      <c r="D51" s="1" t="n">
        <v>5540</v>
      </c>
      <c r="E51" s="1" t="n">
        <v>72145</v>
      </c>
      <c r="F51" s="1" t="n">
        <v>844552</v>
      </c>
      <c r="G51" s="1" t="n">
        <v>9108214</v>
      </c>
      <c r="H51" s="1" t="n">
        <v>84250362</v>
      </c>
    </row>
    <row r="53" customFormat="false" ht="12.8" hidden="false" customHeight="false" outlineLevel="0" collapsed="false">
      <c r="B53" s="1" t="n">
        <v>10</v>
      </c>
      <c r="C53" s="1" t="n">
        <v>50</v>
      </c>
      <c r="D53" s="1" t="n">
        <v>100</v>
      </c>
      <c r="E53" s="1" t="n">
        <v>1000</v>
      </c>
      <c r="F53" s="1" t="n">
        <v>10000</v>
      </c>
      <c r="G53" s="1" t="n">
        <v>100000</v>
      </c>
      <c r="H53" s="1" t="n">
        <v>1000000</v>
      </c>
    </row>
    <row r="54" customFormat="false" ht="12.8" hidden="false" customHeight="false" outlineLevel="0" collapsed="false">
      <c r="A54" s="3" t="s">
        <v>2</v>
      </c>
      <c r="B54" s="4" t="n">
        <f aca="false">(B49-B$48)/B$8</f>
        <v>192.3</v>
      </c>
      <c r="C54" s="4" t="n">
        <f aca="false">(C49-C$48)/C$8</f>
        <v>96.38</v>
      </c>
      <c r="D54" s="4" t="n">
        <f aca="false">(D49-D$48)/D$8</f>
        <v>76.74</v>
      </c>
      <c r="E54" s="4" t="n">
        <f aca="false">(E49-E$48)/E$8</f>
        <v>90.91</v>
      </c>
      <c r="F54" s="4" t="n">
        <f aca="false">(F49-F$48)/F$8</f>
        <v>115.9167</v>
      </c>
      <c r="G54" s="4" t="n">
        <f aca="false">(G49-G$48)/G$8</f>
        <v>162.75807</v>
      </c>
      <c r="H54" s="4" t="n">
        <f aca="false">(H49-H$48)/H$8</f>
        <v>171.029771</v>
      </c>
    </row>
    <row r="55" customFormat="false" ht="12.8" hidden="false" customHeight="false" outlineLevel="0" collapsed="false">
      <c r="A55" s="3" t="s">
        <v>3</v>
      </c>
      <c r="B55" s="4" t="n">
        <f aca="false">(B50-B$48)/B$8</f>
        <v>97.2</v>
      </c>
      <c r="C55" s="5" t="n">
        <f aca="false">(C50-C$48)/C$8</f>
        <v>46.5</v>
      </c>
      <c r="D55" s="4" t="n">
        <f aca="false">(D50-D$48)/D$8</f>
        <v>50.49</v>
      </c>
      <c r="E55" s="4" t="n">
        <f aca="false">(E50-E$48)/E$8</f>
        <v>103.352</v>
      </c>
      <c r="F55" s="4" t="n">
        <f aca="false">(F50-F$48)/F$8</f>
        <v>368.6552</v>
      </c>
      <c r="G55" s="4" t="n">
        <f aca="false">(G50-G$48)/G$8</f>
        <v>983.79593</v>
      </c>
      <c r="H55" s="4" t="n">
        <f aca="false">(H50-H$48)/H$8</f>
        <v>251.675715</v>
      </c>
    </row>
    <row r="56" customFormat="false" ht="12.8" hidden="false" customHeight="false" outlineLevel="0" collapsed="false">
      <c r="A56" s="3" t="s">
        <v>4</v>
      </c>
      <c r="B56" s="5" t="n">
        <f aca="false">(B51-B$48)/B$8</f>
        <v>51</v>
      </c>
      <c r="C56" s="4" t="n">
        <f aca="false">(C51-C$48)/C$8</f>
        <v>70.72</v>
      </c>
      <c r="D56" s="5" t="n">
        <f aca="false">(D51-D$48)/D$8</f>
        <v>48.79</v>
      </c>
      <c r="E56" s="5" t="n">
        <f aca="false">(E51-E$48)/E$8</f>
        <v>66.515</v>
      </c>
      <c r="F56" s="5" t="n">
        <f aca="false">(F51-F$48)/F$8</f>
        <v>78.9489</v>
      </c>
      <c r="G56" s="5" t="n">
        <f aca="false">(G51-G$48)/G$8</f>
        <v>85.59483</v>
      </c>
      <c r="H56" s="5" t="n">
        <f aca="false">(H51-H$48)/H$8</f>
        <v>78.727311</v>
      </c>
    </row>
    <row r="58" customFormat="false" ht="12.8" hidden="false" customHeight="false" outlineLevel="0" collapsed="false">
      <c r="A58" s="2" t="s">
        <v>12</v>
      </c>
    </row>
    <row r="59" customFormat="false" ht="12.8" hidden="false" customHeight="false" outlineLevel="0" collapsed="false">
      <c r="B59" s="1" t="n">
        <v>10</v>
      </c>
      <c r="C59" s="1" t="n">
        <v>50</v>
      </c>
      <c r="D59" s="1" t="n">
        <v>100</v>
      </c>
      <c r="E59" s="1" t="n">
        <v>1000</v>
      </c>
      <c r="F59" s="1" t="n">
        <v>10000</v>
      </c>
      <c r="G59" s="1" t="n">
        <v>100000</v>
      </c>
      <c r="H59" s="1" t="n">
        <v>1000000</v>
      </c>
    </row>
    <row r="60" customFormat="false" ht="12.8" hidden="false" customHeight="false" outlineLevel="0" collapsed="false">
      <c r="A60" s="3" t="s">
        <v>1</v>
      </c>
      <c r="B60" s="1" t="n">
        <v>291</v>
      </c>
      <c r="C60" s="1" t="n">
        <v>601</v>
      </c>
      <c r="D60" s="1" t="n">
        <v>982</v>
      </c>
      <c r="E60" s="1" t="n">
        <v>9557</v>
      </c>
      <c r="F60" s="1" t="n">
        <v>55012</v>
      </c>
      <c r="G60" s="1" t="n">
        <v>549042</v>
      </c>
      <c r="H60" s="1" t="n">
        <v>5749021</v>
      </c>
    </row>
    <row r="61" customFormat="false" ht="12.8" hidden="false" customHeight="false" outlineLevel="0" collapsed="false">
      <c r="A61" s="3" t="s">
        <v>2</v>
      </c>
      <c r="B61" s="1" t="n">
        <v>2886</v>
      </c>
      <c r="C61" s="1" t="n">
        <v>6312</v>
      </c>
      <c r="D61" s="1" t="n">
        <v>11251</v>
      </c>
      <c r="E61" s="1" t="n">
        <v>115915</v>
      </c>
      <c r="F61" s="1" t="n">
        <v>1202979</v>
      </c>
      <c r="G61" s="1" t="n">
        <v>17030550</v>
      </c>
      <c r="H61" s="1" t="n">
        <v>184043205</v>
      </c>
    </row>
    <row r="62" customFormat="false" ht="12.8" hidden="false" customHeight="false" outlineLevel="0" collapsed="false">
      <c r="A62" s="3" t="s">
        <v>3</v>
      </c>
      <c r="B62" s="1" t="n">
        <v>1493</v>
      </c>
      <c r="C62" s="1" t="n">
        <v>2916</v>
      </c>
      <c r="D62" s="1" t="n">
        <v>5971</v>
      </c>
      <c r="E62" s="1" t="n">
        <v>121857</v>
      </c>
      <c r="F62" s="1" t="n">
        <v>4719915</v>
      </c>
      <c r="G62" s="1" t="n">
        <v>129956119</v>
      </c>
      <c r="H62" s="1" t="n">
        <v>310854901</v>
      </c>
    </row>
    <row r="63" customFormat="false" ht="12.8" hidden="false" customHeight="false" outlineLevel="0" collapsed="false">
      <c r="A63" s="3" t="s">
        <v>4</v>
      </c>
      <c r="B63" s="1" t="n">
        <v>1102</v>
      </c>
      <c r="C63" s="1" t="n">
        <v>3757</v>
      </c>
      <c r="D63" s="1" t="n">
        <v>7604</v>
      </c>
      <c r="E63" s="1" t="n">
        <v>74088</v>
      </c>
      <c r="F63" s="1" t="n">
        <v>840665</v>
      </c>
      <c r="G63" s="1" t="n">
        <v>9480036</v>
      </c>
      <c r="H63" s="1" t="n">
        <v>83986190</v>
      </c>
    </row>
    <row r="65" customFormat="false" ht="12.8" hidden="false" customHeight="false" outlineLevel="0" collapsed="false">
      <c r="B65" s="1" t="n">
        <v>10</v>
      </c>
      <c r="C65" s="1" t="n">
        <v>50</v>
      </c>
      <c r="D65" s="1" t="n">
        <v>100</v>
      </c>
      <c r="E65" s="1" t="n">
        <v>1000</v>
      </c>
      <c r="F65" s="1" t="n">
        <v>10000</v>
      </c>
      <c r="G65" s="1" t="n">
        <v>100000</v>
      </c>
      <c r="H65" s="1" t="n">
        <v>1000000</v>
      </c>
    </row>
    <row r="66" customFormat="false" ht="12.8" hidden="false" customHeight="false" outlineLevel="0" collapsed="false">
      <c r="A66" s="3" t="s">
        <v>2</v>
      </c>
      <c r="B66" s="4" t="n">
        <f aca="false">(B61-B$60)/B$8</f>
        <v>259.5</v>
      </c>
      <c r="C66" s="4" t="n">
        <f aca="false">(C61-C$60)/C$8</f>
        <v>114.22</v>
      </c>
      <c r="D66" s="4" t="n">
        <f aca="false">(D61-D$60)/D$8</f>
        <v>102.69</v>
      </c>
      <c r="E66" s="4" t="n">
        <f aca="false">(E61-E$60)/E$8</f>
        <v>106.358</v>
      </c>
      <c r="F66" s="4" t="n">
        <f aca="false">(F61-F$60)/F$8</f>
        <v>114.7967</v>
      </c>
      <c r="G66" s="4" t="n">
        <f aca="false">(G61-G$60)/G$8</f>
        <v>164.81508</v>
      </c>
      <c r="H66" s="4" t="n">
        <f aca="false">(H61-H$60)/H$8</f>
        <v>178.294184</v>
      </c>
    </row>
    <row r="67" customFormat="false" ht="12.8" hidden="false" customHeight="false" outlineLevel="0" collapsed="false">
      <c r="A67" s="3" t="s">
        <v>3</v>
      </c>
      <c r="B67" s="4" t="n">
        <f aca="false">(B62-B$60)/B$8</f>
        <v>120.2</v>
      </c>
      <c r="C67" s="5" t="n">
        <f aca="false">(C62-C$60)/C$8</f>
        <v>46.3</v>
      </c>
      <c r="D67" s="5" t="n">
        <f aca="false">(D62-D$60)/D$8</f>
        <v>49.89</v>
      </c>
      <c r="E67" s="4" t="n">
        <f aca="false">(E62-E$60)/E$8</f>
        <v>112.3</v>
      </c>
      <c r="F67" s="4" t="n">
        <f aca="false">(F62-F$60)/F$8</f>
        <v>466.4903</v>
      </c>
      <c r="G67" s="4" t="n">
        <f aca="false">(G62-G$60)/G$8</f>
        <v>1294.07077</v>
      </c>
      <c r="H67" s="4" t="n">
        <f aca="false">(H62-H$60)/H$8</f>
        <v>305.10588</v>
      </c>
    </row>
    <row r="68" customFormat="false" ht="12.8" hidden="false" customHeight="false" outlineLevel="0" collapsed="false">
      <c r="A68" s="3" t="s">
        <v>4</v>
      </c>
      <c r="B68" s="5" t="n">
        <f aca="false">(B63-B$60)/B$8</f>
        <v>81.1</v>
      </c>
      <c r="C68" s="4" t="n">
        <f aca="false">(C63-C$60)/C$8</f>
        <v>63.12</v>
      </c>
      <c r="D68" s="4" t="n">
        <f aca="false">(D63-D$60)/D$8</f>
        <v>66.22</v>
      </c>
      <c r="E68" s="5" t="n">
        <f aca="false">(E63-E$60)/E$8</f>
        <v>64.531</v>
      </c>
      <c r="F68" s="5" t="n">
        <f aca="false">(F63-F$60)/F$8</f>
        <v>78.5653</v>
      </c>
      <c r="G68" s="5" t="n">
        <f aca="false">(G63-G$60)/G$8</f>
        <v>89.30994</v>
      </c>
      <c r="H68" s="5" t="n">
        <f aca="false">(H63-H$60)/H$8</f>
        <v>78.237169</v>
      </c>
    </row>
    <row r="70" customFormat="false" ht="12.8" hidden="false" customHeight="false" outlineLevel="0" collapsed="false">
      <c r="A70" s="2" t="s">
        <v>13</v>
      </c>
    </row>
    <row r="71" customFormat="false" ht="12.8" hidden="false" customHeight="false" outlineLevel="0" collapsed="false">
      <c r="B71" s="1" t="n">
        <v>10</v>
      </c>
      <c r="C71" s="1" t="n">
        <v>50</v>
      </c>
      <c r="D71" s="1" t="n">
        <v>100</v>
      </c>
      <c r="E71" s="1" t="n">
        <v>1000</v>
      </c>
      <c r="F71" s="1" t="n">
        <v>10000</v>
      </c>
      <c r="G71" s="1" t="n">
        <v>100000</v>
      </c>
      <c r="H71" s="1" t="n">
        <v>1000000</v>
      </c>
    </row>
    <row r="72" customFormat="false" ht="12.8" hidden="false" customHeight="false" outlineLevel="0" collapsed="false">
      <c r="A72" s="3" t="s">
        <v>1</v>
      </c>
      <c r="B72" s="1" t="n">
        <v>218</v>
      </c>
      <c r="C72" s="1" t="n">
        <v>480</v>
      </c>
      <c r="D72" s="1" t="n">
        <v>812</v>
      </c>
      <c r="E72" s="1" t="n">
        <v>7303</v>
      </c>
      <c r="F72" s="1" t="n">
        <v>72555</v>
      </c>
      <c r="G72" s="1" t="n">
        <v>743885</v>
      </c>
      <c r="H72" s="1" t="n">
        <v>7319555</v>
      </c>
    </row>
    <row r="73" customFormat="false" ht="12.8" hidden="false" customHeight="false" outlineLevel="0" collapsed="false">
      <c r="A73" s="3" t="s">
        <v>2</v>
      </c>
      <c r="B73" s="1" t="n">
        <v>8616</v>
      </c>
      <c r="C73" s="1" t="n">
        <v>4869</v>
      </c>
      <c r="D73" s="1" t="n">
        <v>9357</v>
      </c>
      <c r="E73" s="1" t="n">
        <v>94436</v>
      </c>
      <c r="F73" s="1" t="n">
        <v>1158195</v>
      </c>
      <c r="G73" s="1" t="n">
        <v>17158388</v>
      </c>
      <c r="H73" s="1" t="n">
        <v>153352869</v>
      </c>
    </row>
    <row r="74" customFormat="false" ht="12.8" hidden="false" customHeight="false" outlineLevel="0" collapsed="false">
      <c r="A74" s="3" t="s">
        <v>3</v>
      </c>
      <c r="B74" s="1" t="n">
        <v>5821</v>
      </c>
      <c r="C74" s="1" t="n">
        <v>6482</v>
      </c>
      <c r="D74" s="1" t="n">
        <v>13706</v>
      </c>
      <c r="E74" s="1" t="n">
        <v>588736</v>
      </c>
      <c r="F74" s="1" t="n">
        <v>47149784</v>
      </c>
      <c r="G74" s="1" t="n">
        <v>1330872036</v>
      </c>
      <c r="H74" s="1" t="n">
        <v>2397308045</v>
      </c>
    </row>
    <row r="75" customFormat="false" ht="12.8" hidden="false" customHeight="false" outlineLevel="0" collapsed="false">
      <c r="A75" s="3" t="s">
        <v>4</v>
      </c>
      <c r="B75" s="1" t="n">
        <v>2665</v>
      </c>
      <c r="C75" s="1" t="n">
        <v>5520</v>
      </c>
      <c r="D75" s="1" t="n">
        <v>9919</v>
      </c>
      <c r="E75" s="1" t="n">
        <v>105427</v>
      </c>
      <c r="F75" s="1" t="n">
        <v>1262240</v>
      </c>
      <c r="G75" s="1" t="n">
        <v>12650778</v>
      </c>
      <c r="H75" s="1" t="n">
        <v>114964484</v>
      </c>
    </row>
    <row r="77" customFormat="false" ht="12.8" hidden="false" customHeight="false" outlineLevel="0" collapsed="false">
      <c r="B77" s="1" t="n">
        <v>10</v>
      </c>
      <c r="C77" s="1" t="n">
        <v>50</v>
      </c>
      <c r="D77" s="1" t="n">
        <v>100</v>
      </c>
      <c r="E77" s="1" t="n">
        <v>1000</v>
      </c>
      <c r="F77" s="1" t="n">
        <v>10000</v>
      </c>
      <c r="G77" s="1" t="n">
        <v>100000</v>
      </c>
      <c r="H77" s="1" t="n">
        <v>1000000</v>
      </c>
    </row>
    <row r="78" customFormat="false" ht="12.8" hidden="false" customHeight="false" outlineLevel="0" collapsed="false">
      <c r="A78" s="3" t="s">
        <v>2</v>
      </c>
      <c r="B78" s="4" t="n">
        <f aca="false">(B73-B$72)/B$8</f>
        <v>839.8</v>
      </c>
      <c r="C78" s="5" t="n">
        <f aca="false">(C73-C$72)/C$8</f>
        <v>87.78</v>
      </c>
      <c r="D78" s="5" t="n">
        <f aca="false">(D73-D$72)/D$8</f>
        <v>85.45</v>
      </c>
      <c r="E78" s="5" t="n">
        <f aca="false">(E73-E$72)/E$8</f>
        <v>87.133</v>
      </c>
      <c r="F78" s="5" t="n">
        <f aca="false">(F73-F$72)/F$8</f>
        <v>108.564</v>
      </c>
      <c r="G78" s="4" t="n">
        <f aca="false">(G73-G$72)/G$8</f>
        <v>164.14503</v>
      </c>
      <c r="H78" s="4" t="n">
        <f aca="false">(H73-H$72)/H$8</f>
        <v>146.033314</v>
      </c>
    </row>
    <row r="79" customFormat="false" ht="12.8" hidden="false" customHeight="false" outlineLevel="0" collapsed="false">
      <c r="A79" s="3" t="s">
        <v>3</v>
      </c>
      <c r="B79" s="4" t="n">
        <f aca="false">(B74-B$72)/B$8</f>
        <v>560.3</v>
      </c>
      <c r="C79" s="4" t="n">
        <f aca="false">(C74-C$72)/C$8</f>
        <v>120.04</v>
      </c>
      <c r="D79" s="4" t="n">
        <f aca="false">(D74-D$72)/D$8</f>
        <v>128.94</v>
      </c>
      <c r="E79" s="4" t="n">
        <f aca="false">(E74-E$72)/E$8</f>
        <v>581.433</v>
      </c>
      <c r="F79" s="4" t="n">
        <f aca="false">(F74-F$72)/F$8</f>
        <v>4707.7229</v>
      </c>
      <c r="G79" s="4" t="n">
        <f aca="false">(G74-G$72)/G$8</f>
        <v>13301.28151</v>
      </c>
      <c r="H79" s="4" t="n">
        <f aca="false">(H74-H$72)/H$8</f>
        <v>2389.98849</v>
      </c>
    </row>
    <row r="80" customFormat="false" ht="12.8" hidden="false" customHeight="false" outlineLevel="0" collapsed="false">
      <c r="A80" s="3" t="s">
        <v>4</v>
      </c>
      <c r="B80" s="5" t="n">
        <f aca="false">(B75-B$72)/B$8</f>
        <v>244.7</v>
      </c>
      <c r="C80" s="4" t="n">
        <f aca="false">(C75-C$72)/C$8</f>
        <v>100.8</v>
      </c>
      <c r="D80" s="4" t="n">
        <f aca="false">(D75-D$72)/D$8</f>
        <v>91.07</v>
      </c>
      <c r="E80" s="4" t="n">
        <f aca="false">(E75-E$72)/E$8</f>
        <v>98.124</v>
      </c>
      <c r="F80" s="4" t="n">
        <f aca="false">(F75-F$72)/F$8</f>
        <v>118.9685</v>
      </c>
      <c r="G80" s="5" t="n">
        <f aca="false">(G75-G$72)/G$8</f>
        <v>119.06893</v>
      </c>
      <c r="H80" s="5" t="n">
        <f aca="false">(H75-H$72)/H$8</f>
        <v>107.644929</v>
      </c>
    </row>
    <row r="82" customFormat="false" ht="12.8" hidden="false" customHeight="false" outlineLevel="0" collapsed="false">
      <c r="A82" s="2" t="s">
        <v>14</v>
      </c>
    </row>
    <row r="83" customFormat="false" ht="12.8" hidden="false" customHeight="false" outlineLevel="0" collapsed="false">
      <c r="B83" s="1" t="n">
        <v>10</v>
      </c>
      <c r="C83" s="1" t="n">
        <v>50</v>
      </c>
      <c r="D83" s="1" t="n">
        <v>100</v>
      </c>
      <c r="E83" s="1" t="n">
        <v>1000</v>
      </c>
      <c r="F83" s="1" t="n">
        <v>10000</v>
      </c>
      <c r="G83" s="1" t="n">
        <v>100000</v>
      </c>
      <c r="H83" s="1" t="n">
        <v>1000000</v>
      </c>
    </row>
    <row r="84" customFormat="false" ht="12.8" hidden="false" customHeight="false" outlineLevel="0" collapsed="false">
      <c r="A84" s="3" t="s">
        <v>1</v>
      </c>
      <c r="B84" s="1" t="n">
        <v>301</v>
      </c>
      <c r="C84" s="1" t="n">
        <v>541</v>
      </c>
      <c r="D84" s="1" t="n">
        <v>1362</v>
      </c>
      <c r="E84" s="1" t="n">
        <v>12844</v>
      </c>
      <c r="F84" s="1" t="n">
        <v>109483</v>
      </c>
      <c r="G84" s="1" t="n">
        <v>726603</v>
      </c>
      <c r="H84" s="1" t="n">
        <v>7371622</v>
      </c>
    </row>
    <row r="85" customFormat="false" ht="12.8" hidden="false" customHeight="false" outlineLevel="0" collapsed="false">
      <c r="A85" s="3" t="s">
        <v>2</v>
      </c>
      <c r="B85" s="1" t="n">
        <v>2936</v>
      </c>
      <c r="C85" s="1" t="n">
        <v>5631</v>
      </c>
      <c r="D85" s="1" t="n">
        <v>12033</v>
      </c>
      <c r="E85" s="1" t="n">
        <v>146313</v>
      </c>
      <c r="F85" s="1" t="n">
        <v>1435342</v>
      </c>
      <c r="G85" s="1" t="n">
        <v>19591587</v>
      </c>
      <c r="H85" s="1" t="n">
        <v>183624275</v>
      </c>
    </row>
    <row r="86" customFormat="false" ht="12.8" hidden="false" customHeight="false" outlineLevel="0" collapsed="false">
      <c r="A86" s="3" t="s">
        <v>3</v>
      </c>
      <c r="B86" s="1" t="n">
        <v>2184</v>
      </c>
      <c r="C86" s="1" t="n">
        <v>6723</v>
      </c>
      <c r="D86" s="1" t="n">
        <v>20118</v>
      </c>
      <c r="E86" s="1" t="n">
        <v>747221</v>
      </c>
      <c r="F86" s="1" t="n">
        <v>44115396</v>
      </c>
      <c r="G86" s="1" t="n">
        <v>1388786147</v>
      </c>
      <c r="H86" s="1" t="n">
        <v>2383603737</v>
      </c>
    </row>
    <row r="87" customFormat="false" ht="12.8" hidden="false" customHeight="false" outlineLevel="0" collapsed="false">
      <c r="A87" s="3" t="s">
        <v>4</v>
      </c>
      <c r="B87" s="1" t="n">
        <v>3075</v>
      </c>
      <c r="C87" s="1" t="n">
        <v>5751</v>
      </c>
      <c r="D87" s="1" t="n">
        <v>11492</v>
      </c>
      <c r="E87" s="1" t="n">
        <v>140903</v>
      </c>
      <c r="F87" s="1" t="n">
        <v>1272148</v>
      </c>
      <c r="G87" s="1" t="n">
        <v>13665527</v>
      </c>
      <c r="H87" s="1" t="n">
        <v>120455885</v>
      </c>
    </row>
    <row r="89" customFormat="false" ht="12.8" hidden="false" customHeight="false" outlineLevel="0" collapsed="false">
      <c r="B89" s="1" t="n">
        <v>10</v>
      </c>
      <c r="C89" s="1" t="n">
        <v>50</v>
      </c>
      <c r="D89" s="1" t="n">
        <v>100</v>
      </c>
      <c r="E89" s="1" t="n">
        <v>1000</v>
      </c>
      <c r="F89" s="1" t="n">
        <v>10000</v>
      </c>
      <c r="G89" s="1" t="n">
        <v>100000</v>
      </c>
      <c r="H89" s="1" t="n">
        <v>1000000</v>
      </c>
    </row>
    <row r="90" customFormat="false" ht="12.8" hidden="false" customHeight="false" outlineLevel="0" collapsed="false">
      <c r="A90" s="3" t="s">
        <v>2</v>
      </c>
      <c r="B90" s="4" t="n">
        <f aca="false">(B85-B$84)/B$8</f>
        <v>263.5</v>
      </c>
      <c r="C90" s="5" t="n">
        <f aca="false">(C85-C$84)/C$8</f>
        <v>101.8</v>
      </c>
      <c r="D90" s="4" t="n">
        <f aca="false">(D85-D$84)/D$8</f>
        <v>106.71</v>
      </c>
      <c r="E90" s="4" t="n">
        <f aca="false">(E85-E$84)/E$8</f>
        <v>133.469</v>
      </c>
      <c r="F90" s="4" t="n">
        <f aca="false">(F85-F$84)/F$8</f>
        <v>132.5859</v>
      </c>
      <c r="G90" s="4" t="n">
        <f aca="false">(G85-G$84)/G$8</f>
        <v>188.64984</v>
      </c>
      <c r="H90" s="4" t="n">
        <f aca="false">(H85-H$84)/H$8</f>
        <v>176.252653</v>
      </c>
    </row>
    <row r="91" customFormat="false" ht="12.8" hidden="false" customHeight="false" outlineLevel="0" collapsed="false">
      <c r="A91" s="3" t="s">
        <v>3</v>
      </c>
      <c r="B91" s="5" t="n">
        <f aca="false">(B86-B$84)/B$8</f>
        <v>188.3</v>
      </c>
      <c r="C91" s="4" t="n">
        <f aca="false">(C86-C$84)/C$8</f>
        <v>123.64</v>
      </c>
      <c r="D91" s="4" t="n">
        <f aca="false">(D86-D$84)/D$8</f>
        <v>187.56</v>
      </c>
      <c r="E91" s="4" t="n">
        <f aca="false">(E86-E$84)/E$8</f>
        <v>734.377</v>
      </c>
      <c r="F91" s="4" t="n">
        <f aca="false">(F86-F$84)/F$8</f>
        <v>4400.5913</v>
      </c>
      <c r="G91" s="4" t="n">
        <f aca="false">(G86-G$84)/G$8</f>
        <v>13880.59544</v>
      </c>
      <c r="H91" s="4" t="n">
        <f aca="false">(H86-H$84)/H$8</f>
        <v>2376.232115</v>
      </c>
    </row>
    <row r="92" customFormat="false" ht="12.8" hidden="false" customHeight="false" outlineLevel="0" collapsed="false">
      <c r="A92" s="3" t="s">
        <v>4</v>
      </c>
      <c r="B92" s="4" t="n">
        <f aca="false">(B87-B$84)/B$8</f>
        <v>277.4</v>
      </c>
      <c r="C92" s="4" t="n">
        <f aca="false">(C87-C$84)/C$8</f>
        <v>104.2</v>
      </c>
      <c r="D92" s="5" t="n">
        <f aca="false">(D87-D$84)/D$8</f>
        <v>101.3</v>
      </c>
      <c r="E92" s="5" t="n">
        <f aca="false">(E87-E$84)/E$8</f>
        <v>128.059</v>
      </c>
      <c r="F92" s="5" t="n">
        <f aca="false">(F87-F$84)/F$8</f>
        <v>116.2665</v>
      </c>
      <c r="G92" s="5" t="n">
        <f aca="false">(G87-G$84)/G$8</f>
        <v>129.38924</v>
      </c>
      <c r="H92" s="5" t="n">
        <f aca="false">(H87-H$84)/H$8</f>
        <v>113.084263</v>
      </c>
    </row>
    <row r="94" customFormat="false" ht="12.8" hidden="false" customHeight="false" outlineLevel="0" collapsed="false">
      <c r="A94" s="2" t="s">
        <v>15</v>
      </c>
    </row>
    <row r="95" customFormat="false" ht="12.8" hidden="false" customHeight="false" outlineLevel="0" collapsed="false">
      <c r="B95" s="1" t="n">
        <v>10</v>
      </c>
      <c r="C95" s="1" t="n">
        <v>50</v>
      </c>
      <c r="D95" s="1" t="n">
        <v>100</v>
      </c>
      <c r="E95" s="1" t="n">
        <v>1000</v>
      </c>
      <c r="F95" s="1" t="n">
        <v>10000</v>
      </c>
      <c r="G95" s="1" t="n">
        <v>100000</v>
      </c>
      <c r="H95" s="1" t="n">
        <v>1000000</v>
      </c>
    </row>
    <row r="96" customFormat="false" ht="12.8" hidden="false" customHeight="false" outlineLevel="0" collapsed="false">
      <c r="A96" s="3" t="s">
        <v>1</v>
      </c>
      <c r="B96" s="1" t="n">
        <v>260</v>
      </c>
      <c r="C96" s="1" t="n">
        <v>521</v>
      </c>
      <c r="D96" s="1" t="n">
        <v>922</v>
      </c>
      <c r="E96" s="1" t="n">
        <v>7394</v>
      </c>
      <c r="F96" s="1" t="n">
        <v>77524</v>
      </c>
      <c r="G96" s="1" t="n">
        <v>734898</v>
      </c>
      <c r="H96" s="1" t="n">
        <v>7396558</v>
      </c>
    </row>
    <row r="97" customFormat="false" ht="12.8" hidden="false" customHeight="false" outlineLevel="0" collapsed="false">
      <c r="A97" s="3" t="s">
        <v>2</v>
      </c>
      <c r="B97" s="1" t="n">
        <v>6111</v>
      </c>
      <c r="C97" s="1" t="n">
        <v>5100</v>
      </c>
      <c r="D97" s="1" t="n">
        <v>8465</v>
      </c>
      <c r="E97" s="1" t="n">
        <v>61785</v>
      </c>
      <c r="F97" s="1" t="n">
        <v>585600</v>
      </c>
      <c r="G97" s="1" t="n">
        <v>5952510</v>
      </c>
      <c r="H97" s="1" t="n">
        <v>59901609</v>
      </c>
    </row>
    <row r="98" customFormat="false" ht="12.8" hidden="false" customHeight="false" outlineLevel="0" collapsed="false">
      <c r="A98" s="3" t="s">
        <v>3</v>
      </c>
      <c r="B98" s="1" t="n">
        <v>1683</v>
      </c>
      <c r="C98" s="1" t="n">
        <v>5000</v>
      </c>
      <c r="D98" s="1" t="n">
        <v>7714</v>
      </c>
      <c r="E98" s="1" t="n">
        <v>54852</v>
      </c>
      <c r="F98" s="1" t="n">
        <v>523525</v>
      </c>
      <c r="G98" s="1" t="n">
        <v>5208235</v>
      </c>
      <c r="H98" s="1" t="n">
        <v>52336508</v>
      </c>
    </row>
    <row r="99" customFormat="false" ht="12.8" hidden="false" customHeight="false" outlineLevel="0" collapsed="false">
      <c r="A99" s="3" t="s">
        <v>4</v>
      </c>
      <c r="B99" s="1" t="n">
        <v>1914</v>
      </c>
      <c r="C99" s="1" t="n">
        <v>5109</v>
      </c>
      <c r="D99" s="1" t="n">
        <v>7023</v>
      </c>
      <c r="E99" s="1" t="n">
        <v>49943</v>
      </c>
      <c r="F99" s="1" t="n">
        <v>471438</v>
      </c>
      <c r="G99" s="1" t="n">
        <v>4805435</v>
      </c>
      <c r="H99" s="1" t="n">
        <v>48436950</v>
      </c>
    </row>
    <row r="101" customFormat="false" ht="12.8" hidden="false" customHeight="false" outlineLevel="0" collapsed="false">
      <c r="B101" s="1" t="n">
        <v>10</v>
      </c>
      <c r="C101" s="1" t="n">
        <v>50</v>
      </c>
      <c r="D101" s="1" t="n">
        <v>100</v>
      </c>
      <c r="E101" s="1" t="n">
        <v>1000</v>
      </c>
      <c r="F101" s="1" t="n">
        <v>10000</v>
      </c>
      <c r="G101" s="1" t="n">
        <v>100000</v>
      </c>
      <c r="H101" s="1" t="n">
        <v>1000000</v>
      </c>
    </row>
    <row r="102" customFormat="false" ht="12.8" hidden="false" customHeight="false" outlineLevel="0" collapsed="false">
      <c r="A102" s="3" t="s">
        <v>2</v>
      </c>
      <c r="B102" s="4" t="n">
        <f aca="false">(B97-B$96)/B$8</f>
        <v>585.1</v>
      </c>
      <c r="C102" s="4" t="n">
        <f aca="false">(C97-C$96)/C$8</f>
        <v>91.58</v>
      </c>
      <c r="D102" s="4" t="n">
        <f aca="false">(D97-D$96)/D$8</f>
        <v>75.43</v>
      </c>
      <c r="E102" s="4" t="n">
        <f aca="false">(E97-E$96)/E$8</f>
        <v>54.391</v>
      </c>
      <c r="F102" s="4" t="n">
        <f aca="false">(F97-F$96)/F$8</f>
        <v>50.8076</v>
      </c>
      <c r="G102" s="4" t="n">
        <f aca="false">(G97-G$96)/G$8</f>
        <v>52.17612</v>
      </c>
      <c r="H102" s="4" t="n">
        <f aca="false">(H97-H$96)/H$8</f>
        <v>52.505051</v>
      </c>
    </row>
    <row r="103" customFormat="false" ht="12.8" hidden="false" customHeight="false" outlineLevel="0" collapsed="false">
      <c r="A103" s="3" t="s">
        <v>3</v>
      </c>
      <c r="B103" s="4" t="n">
        <f aca="false">(B98-B$96)/B$8</f>
        <v>142.3</v>
      </c>
      <c r="C103" s="5" t="n">
        <f aca="false">(C98-C$96)/C$8</f>
        <v>89.58</v>
      </c>
      <c r="D103" s="4" t="n">
        <f aca="false">(D98-D$96)/D$8</f>
        <v>67.92</v>
      </c>
      <c r="E103" s="4" t="n">
        <f aca="false">(E98-E$96)/E$8</f>
        <v>47.458</v>
      </c>
      <c r="F103" s="4" t="n">
        <f aca="false">(F98-F$96)/F$8</f>
        <v>44.6001</v>
      </c>
      <c r="G103" s="4" t="n">
        <f aca="false">(G98-G$96)/G$8</f>
        <v>44.73337</v>
      </c>
      <c r="H103" s="4" t="n">
        <f aca="false">(H98-H$96)/H$8</f>
        <v>44.93995</v>
      </c>
    </row>
    <row r="104" customFormat="false" ht="12.8" hidden="false" customHeight="false" outlineLevel="0" collapsed="false">
      <c r="A104" s="3" t="s">
        <v>4</v>
      </c>
      <c r="B104" s="5" t="n">
        <f aca="false">(B99-B$96)/B$8</f>
        <v>165.4</v>
      </c>
      <c r="C104" s="4" t="n">
        <f aca="false">(C99-C$96)/C$8</f>
        <v>91.76</v>
      </c>
      <c r="D104" s="5" t="n">
        <f aca="false">(D99-D$96)/D$8</f>
        <v>61.01</v>
      </c>
      <c r="E104" s="5" t="n">
        <f aca="false">(E99-E$96)/E$8</f>
        <v>42.549</v>
      </c>
      <c r="F104" s="5" t="n">
        <f aca="false">(F99-F$96)/F$8</f>
        <v>39.3914</v>
      </c>
      <c r="G104" s="5" t="n">
        <f aca="false">(G99-G$96)/G$8</f>
        <v>40.70537</v>
      </c>
      <c r="H104" s="5" t="n">
        <f aca="false">(H99-H$96)/H$8</f>
        <v>41.040392</v>
      </c>
    </row>
    <row r="106" customFormat="false" ht="12.8" hidden="false" customHeight="false" outlineLevel="0" collapsed="false">
      <c r="A106" s="2" t="s">
        <v>16</v>
      </c>
    </row>
    <row r="107" customFormat="false" ht="12.8" hidden="false" customHeight="false" outlineLevel="0" collapsed="false">
      <c r="B107" s="1" t="n">
        <v>10</v>
      </c>
      <c r="C107" s="1" t="n">
        <v>50</v>
      </c>
      <c r="D107" s="1" t="n">
        <v>100</v>
      </c>
      <c r="E107" s="1" t="n">
        <v>1000</v>
      </c>
      <c r="F107" s="1" t="n">
        <v>10000</v>
      </c>
      <c r="G107" s="1" t="n">
        <v>100000</v>
      </c>
      <c r="H107" s="1" t="n">
        <v>1000000</v>
      </c>
    </row>
    <row r="108" customFormat="false" ht="12.8" hidden="false" customHeight="false" outlineLevel="0" collapsed="false">
      <c r="A108" s="3" t="s">
        <v>1</v>
      </c>
      <c r="B108" s="1" t="n">
        <v>931</v>
      </c>
      <c r="C108" s="1" t="n">
        <v>1781</v>
      </c>
      <c r="D108" s="1" t="n">
        <v>10951</v>
      </c>
      <c r="E108" s="1" t="n">
        <v>121797</v>
      </c>
      <c r="F108" s="1" t="n">
        <v>1116177</v>
      </c>
      <c r="G108" s="1" t="n">
        <v>10897144</v>
      </c>
      <c r="H108" s="1" t="n">
        <v>109003918</v>
      </c>
    </row>
    <row r="109" customFormat="false" ht="12.8" hidden="false" customHeight="false" outlineLevel="0" collapsed="false">
      <c r="A109" s="3" t="s">
        <v>2</v>
      </c>
      <c r="B109" s="1" t="n">
        <v>6582</v>
      </c>
      <c r="C109" s="1" t="n">
        <v>12634</v>
      </c>
      <c r="D109" s="1" t="n">
        <v>20949</v>
      </c>
      <c r="E109" s="1" t="n">
        <v>210311</v>
      </c>
      <c r="F109" s="1" t="n">
        <v>1771548</v>
      </c>
      <c r="G109" s="1" t="n">
        <v>17423061</v>
      </c>
      <c r="H109" s="1" t="n">
        <v>172703067</v>
      </c>
    </row>
    <row r="110" customFormat="false" ht="12.8" hidden="false" customHeight="false" outlineLevel="0" collapsed="false">
      <c r="A110" s="3" t="s">
        <v>3</v>
      </c>
      <c r="B110" s="1" t="n">
        <v>4930</v>
      </c>
      <c r="C110" s="1" t="n">
        <v>10920</v>
      </c>
      <c r="D110" s="1" t="n">
        <v>24536</v>
      </c>
      <c r="E110" s="1" t="n">
        <v>178512</v>
      </c>
      <c r="F110" s="1" t="n">
        <v>1690737</v>
      </c>
      <c r="G110" s="1" t="n">
        <v>16572719</v>
      </c>
      <c r="H110" s="1" t="n">
        <v>165354959</v>
      </c>
    </row>
    <row r="111" customFormat="false" ht="12.8" hidden="false" customHeight="false" outlineLevel="0" collapsed="false">
      <c r="A111" s="3" t="s">
        <v>4</v>
      </c>
      <c r="B111" s="1" t="n">
        <v>3697</v>
      </c>
      <c r="C111" s="1" t="n">
        <v>11471</v>
      </c>
      <c r="D111" s="1" t="n">
        <v>24074</v>
      </c>
      <c r="E111" s="1" t="n">
        <v>181809</v>
      </c>
      <c r="F111" s="1" t="n">
        <v>1628562</v>
      </c>
      <c r="G111" s="1" t="n">
        <v>16283209</v>
      </c>
      <c r="H111" s="1" t="n">
        <v>161635045</v>
      </c>
    </row>
    <row r="112" customFormat="false" ht="12.8" hidden="false" customHeight="false" outlineLevel="0" collapsed="false">
      <c r="H112" s="3" t="s">
        <v>17</v>
      </c>
    </row>
    <row r="113" customFormat="false" ht="12.8" hidden="false" customHeight="false" outlineLevel="0" collapsed="false">
      <c r="B113" s="1" t="n">
        <v>10</v>
      </c>
      <c r="C113" s="1" t="n">
        <v>50</v>
      </c>
      <c r="D113" s="1" t="n">
        <v>100</v>
      </c>
      <c r="E113" s="1" t="n">
        <v>1000</v>
      </c>
      <c r="F113" s="1" t="n">
        <v>10000</v>
      </c>
      <c r="G113" s="1" t="n">
        <v>100000</v>
      </c>
      <c r="H113" s="1" t="n">
        <v>1000000</v>
      </c>
    </row>
    <row r="114" customFormat="false" ht="12.8" hidden="false" customHeight="false" outlineLevel="0" collapsed="false">
      <c r="A114" s="3" t="s">
        <v>2</v>
      </c>
      <c r="B114" s="4" t="n">
        <f aca="false">(B109-B$108)/B$8</f>
        <v>565.1</v>
      </c>
      <c r="C114" s="4" t="n">
        <f aca="false">(C109-C$108)/C$8</f>
        <v>217.06</v>
      </c>
      <c r="D114" s="5" t="n">
        <f aca="false">(D109-D$108)/D$8</f>
        <v>99.98</v>
      </c>
      <c r="E114" s="4" t="n">
        <f aca="false">(E109-E$108)/E$8</f>
        <v>88.514</v>
      </c>
      <c r="F114" s="4" t="n">
        <f aca="false">(F109-F$108)/F$8</f>
        <v>65.5371</v>
      </c>
      <c r="G114" s="4" t="n">
        <f aca="false">(G109-G$108)/G$8</f>
        <v>65.25917</v>
      </c>
      <c r="H114" s="4" t="n">
        <f aca="false">(H109-H$108)/H$8</f>
        <v>63.699149</v>
      </c>
    </row>
    <row r="115" customFormat="false" ht="12.8" hidden="false" customHeight="false" outlineLevel="0" collapsed="false">
      <c r="A115" s="3" t="s">
        <v>3</v>
      </c>
      <c r="B115" s="4" t="n">
        <f aca="false">(B110-B$108)/B$8</f>
        <v>399.9</v>
      </c>
      <c r="C115" s="5" t="n">
        <f aca="false">(C110-C$108)/C$8</f>
        <v>182.78</v>
      </c>
      <c r="D115" s="4" t="n">
        <f aca="false">(D110-D$108)/D$8</f>
        <v>135.85</v>
      </c>
      <c r="E115" s="5" t="n">
        <f aca="false">(E110-E$108)/E$8</f>
        <v>56.715</v>
      </c>
      <c r="F115" s="4" t="n">
        <f aca="false">(F110-F$108)/F$8</f>
        <v>57.456</v>
      </c>
      <c r="G115" s="4" t="n">
        <f aca="false">(G110-G$108)/G$8</f>
        <v>56.75575</v>
      </c>
      <c r="H115" s="4" t="n">
        <f aca="false">(H110-H$108)/H$8</f>
        <v>56.351041</v>
      </c>
    </row>
    <row r="116" customFormat="false" ht="12.8" hidden="false" customHeight="false" outlineLevel="0" collapsed="false">
      <c r="A116" s="3" t="s">
        <v>4</v>
      </c>
      <c r="B116" s="5" t="n">
        <f aca="false">(B111-B$108)/B$8</f>
        <v>276.6</v>
      </c>
      <c r="C116" s="4" t="n">
        <f aca="false">(C111-C$108)/C$8</f>
        <v>193.8</v>
      </c>
      <c r="D116" s="4" t="n">
        <f aca="false">(D111-D$108)/D$8</f>
        <v>131.23</v>
      </c>
      <c r="E116" s="4" t="n">
        <f aca="false">(E111-E$108)/E$8</f>
        <v>60.012</v>
      </c>
      <c r="F116" s="5" t="n">
        <f aca="false">(F111-F$108)/F$8</f>
        <v>51.2385</v>
      </c>
      <c r="G116" s="5" t="n">
        <f aca="false">(G111-G$108)/G$8</f>
        <v>53.86065</v>
      </c>
      <c r="H116" s="5" t="n">
        <f aca="false">(H111-H$108)/H$8</f>
        <v>52.631127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9" activeCellId="0" sqref="M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1.6"/>
    <col collapsed="false" customWidth="true" hidden="false" outlineLevel="0" max="3" min="3" style="0" width="17.01"/>
  </cols>
  <sheetData>
    <row r="3" customFormat="false" ht="12.8" hidden="false" customHeight="false" outlineLevel="0" collapsed="false">
      <c r="B3" s="0" t="s">
        <v>18</v>
      </c>
      <c r="C3" s="0" t="s">
        <v>19</v>
      </c>
      <c r="D3" s="0" t="s">
        <v>20</v>
      </c>
    </row>
    <row r="4" customFormat="false" ht="12.8" hidden="false" customHeight="false" outlineLevel="0" collapsed="false">
      <c r="B4" s="0" t="s">
        <v>21</v>
      </c>
      <c r="C4" s="0" t="s">
        <v>22</v>
      </c>
      <c r="D4" s="6" t="n">
        <v>31.0194</v>
      </c>
      <c r="E4" s="0" t="s">
        <v>23</v>
      </c>
    </row>
    <row r="5" customFormat="false" ht="12.8" hidden="false" customHeight="false" outlineLevel="0" collapsed="false">
      <c r="B5" s="0" t="s">
        <v>21</v>
      </c>
      <c r="C5" s="0" t="s">
        <v>24</v>
      </c>
      <c r="D5" s="6" t="n">
        <v>30.9292</v>
      </c>
      <c r="E5" s="0" t="s">
        <v>23</v>
      </c>
    </row>
    <row r="6" customFormat="false" ht="12.8" hidden="false" customHeight="false" outlineLevel="0" collapsed="false">
      <c r="B6" s="0" t="s">
        <v>21</v>
      </c>
      <c r="C6" s="7" t="s">
        <v>25</v>
      </c>
      <c r="D6" s="6" t="n">
        <v>30.9729</v>
      </c>
      <c r="E6" s="0" t="s">
        <v>23</v>
      </c>
    </row>
    <row r="7" customFormat="false" ht="12.8" hidden="false" customHeight="false" outlineLevel="0" collapsed="false">
      <c r="B7" s="0" t="s">
        <v>21</v>
      </c>
      <c r="C7" s="0" t="s">
        <v>26</v>
      </c>
      <c r="D7" s="6" t="n">
        <v>31.1334</v>
      </c>
      <c r="E7" s="0" t="s">
        <v>23</v>
      </c>
    </row>
    <row r="8" customFormat="false" ht="12.8" hidden="false" customHeight="false" outlineLevel="0" collapsed="false">
      <c r="B8" s="0" t="s">
        <v>27</v>
      </c>
      <c r="C8" s="7" t="s">
        <v>22</v>
      </c>
      <c r="D8" s="6" t="n">
        <v>31.252</v>
      </c>
      <c r="E8" s="0" t="s">
        <v>23</v>
      </c>
    </row>
    <row r="9" customFormat="false" ht="12.8" hidden="false" customHeight="false" outlineLevel="0" collapsed="false">
      <c r="B9" s="0" t="s">
        <v>27</v>
      </c>
      <c r="C9" s="0" t="s">
        <v>24</v>
      </c>
      <c r="D9" s="6" t="n">
        <v>31.1582</v>
      </c>
      <c r="E9" s="0" t="s">
        <v>23</v>
      </c>
    </row>
    <row r="10" customFormat="false" ht="12.8" hidden="false" customHeight="false" outlineLevel="0" collapsed="false">
      <c r="B10" s="0" t="s">
        <v>27</v>
      </c>
      <c r="C10" s="0" t="s">
        <v>25</v>
      </c>
      <c r="D10" s="6" t="n">
        <v>31.3014</v>
      </c>
      <c r="E10" s="0" t="s">
        <v>23</v>
      </c>
    </row>
    <row r="11" customFormat="false" ht="12.8" hidden="false" customHeight="false" outlineLevel="0" collapsed="false">
      <c r="B11" s="0" t="s">
        <v>27</v>
      </c>
      <c r="C11" s="0" t="s">
        <v>26</v>
      </c>
      <c r="D11" s="6" t="n">
        <v>31.3399</v>
      </c>
      <c r="E11" s="0" t="s">
        <v>23</v>
      </c>
    </row>
    <row r="12" customFormat="false" ht="12.8" hidden="false" customHeight="false" outlineLevel="0" collapsed="false">
      <c r="B12" s="0" t="s">
        <v>28</v>
      </c>
      <c r="C12" s="7" t="s">
        <v>22</v>
      </c>
      <c r="D12" s="6" t="n">
        <v>62.3542</v>
      </c>
      <c r="E12" s="0" t="s">
        <v>23</v>
      </c>
    </row>
    <row r="13" customFormat="false" ht="12.8" hidden="false" customHeight="false" outlineLevel="0" collapsed="false">
      <c r="B13" s="0" t="s">
        <v>28</v>
      </c>
      <c r="C13" s="0" t="s">
        <v>24</v>
      </c>
      <c r="D13" s="6" t="n">
        <v>31.2821</v>
      </c>
      <c r="E13" s="0" t="s">
        <v>23</v>
      </c>
    </row>
    <row r="14" customFormat="false" ht="12.8" hidden="false" customHeight="false" outlineLevel="0" collapsed="false">
      <c r="B14" s="0" t="s">
        <v>28</v>
      </c>
      <c r="C14" s="0" t="s">
        <v>25</v>
      </c>
      <c r="D14" s="6" t="n">
        <v>80.9791</v>
      </c>
      <c r="E14" s="0" t="s">
        <v>23</v>
      </c>
    </row>
    <row r="15" customFormat="false" ht="12.8" hidden="false" customHeight="false" outlineLevel="0" collapsed="false">
      <c r="B15" s="0" t="s">
        <v>28</v>
      </c>
      <c r="C15" s="0" t="s">
        <v>26</v>
      </c>
      <c r="D15" s="6" t="n">
        <v>98.9995</v>
      </c>
      <c r="E15" s="0" t="s">
        <v>23</v>
      </c>
    </row>
    <row r="16" customFormat="false" ht="12.8" hidden="false" customHeight="false" outlineLevel="0" collapsed="false">
      <c r="B16" s="0" t="s">
        <v>29</v>
      </c>
      <c r="C16" s="7" t="s">
        <v>22</v>
      </c>
      <c r="D16" s="6" t="n">
        <v>633.99</v>
      </c>
      <c r="E16" s="0" t="s">
        <v>23</v>
      </c>
    </row>
    <row r="17" customFormat="false" ht="12.8" hidden="false" customHeight="false" outlineLevel="0" collapsed="false">
      <c r="B17" s="0" t="s">
        <v>29</v>
      </c>
      <c r="C17" s="0" t="s">
        <v>24</v>
      </c>
      <c r="D17" s="6" t="n">
        <v>79.85</v>
      </c>
      <c r="E17" s="0" t="s">
        <v>23</v>
      </c>
    </row>
    <row r="18" customFormat="false" ht="12.8" hidden="false" customHeight="false" outlineLevel="0" collapsed="false">
      <c r="B18" s="0" t="s">
        <v>29</v>
      </c>
      <c r="C18" s="0" t="s">
        <v>25</v>
      </c>
      <c r="D18" s="6" t="n">
        <v>2406.09</v>
      </c>
      <c r="E18" s="0" t="s">
        <v>23</v>
      </c>
    </row>
    <row r="19" customFormat="false" ht="12.8" hidden="false" customHeight="false" outlineLevel="0" collapsed="false">
      <c r="B19" s="0" t="s">
        <v>29</v>
      </c>
      <c r="C19" s="0" t="s">
        <v>26</v>
      </c>
      <c r="D19" s="6" t="n">
        <v>1245.33</v>
      </c>
      <c r="E19" s="0" t="s">
        <v>23</v>
      </c>
    </row>
    <row r="20" customFormat="false" ht="12.8" hidden="false" customHeight="false" outlineLevel="0" collapsed="false">
      <c r="B20" s="0" t="s">
        <v>30</v>
      </c>
      <c r="C20" s="0" t="s">
        <v>22</v>
      </c>
      <c r="D20" s="6" t="n">
        <v>31.1432</v>
      </c>
      <c r="E20" s="0" t="s">
        <v>23</v>
      </c>
    </row>
    <row r="21" customFormat="false" ht="12.8" hidden="false" customHeight="false" outlineLevel="0" collapsed="false">
      <c r="B21" s="0" t="s">
        <v>30</v>
      </c>
      <c r="C21" s="0" t="s">
        <v>24</v>
      </c>
      <c r="D21" s="6" t="n">
        <v>30.9953</v>
      </c>
      <c r="E21" s="0" t="s">
        <v>23</v>
      </c>
    </row>
    <row r="22" customFormat="false" ht="12.8" hidden="false" customHeight="false" outlineLevel="0" collapsed="false">
      <c r="B22" s="0" t="s">
        <v>30</v>
      </c>
      <c r="C22" s="0" t="s">
        <v>25</v>
      </c>
      <c r="D22" s="6" t="n">
        <v>31.1283</v>
      </c>
      <c r="E22" s="0" t="s">
        <v>23</v>
      </c>
    </row>
    <row r="23" customFormat="false" ht="12.8" hidden="false" customHeight="false" outlineLevel="0" collapsed="false">
      <c r="B23" s="0" t="s">
        <v>30</v>
      </c>
      <c r="C23" s="7" t="s">
        <v>26</v>
      </c>
      <c r="D23" s="6" t="n">
        <v>31.1213</v>
      </c>
      <c r="E23" s="0" t="s">
        <v>23</v>
      </c>
    </row>
    <row r="24" customFormat="false" ht="12.8" hidden="false" customHeight="false" outlineLevel="0" collapsed="false">
      <c r="B24" s="0" t="s">
        <v>31</v>
      </c>
      <c r="C24" s="7" t="s">
        <v>22</v>
      </c>
      <c r="D24" s="6" t="n">
        <v>31.2588</v>
      </c>
      <c r="E24" s="0" t="s">
        <v>23</v>
      </c>
    </row>
    <row r="25" customFormat="false" ht="12.8" hidden="false" customHeight="false" outlineLevel="0" collapsed="false">
      <c r="B25" s="0" t="s">
        <v>31</v>
      </c>
      <c r="C25" s="0" t="s">
        <v>24</v>
      </c>
      <c r="D25" s="6" t="n">
        <v>30.9879</v>
      </c>
      <c r="E25" s="0" t="s">
        <v>23</v>
      </c>
    </row>
    <row r="26" customFormat="false" ht="12.8" hidden="false" customHeight="false" outlineLevel="0" collapsed="false">
      <c r="B26" s="0" t="s">
        <v>31</v>
      </c>
      <c r="C26" s="0" t="s">
        <v>25</v>
      </c>
      <c r="D26" s="6" t="n">
        <v>31.3625</v>
      </c>
      <c r="E26" s="0" t="s">
        <v>23</v>
      </c>
    </row>
    <row r="27" customFormat="false" ht="12.8" hidden="false" customHeight="false" outlineLevel="0" collapsed="false">
      <c r="B27" s="0" t="s">
        <v>31</v>
      </c>
      <c r="C27" s="0" t="s">
        <v>26</v>
      </c>
      <c r="D27" s="6" t="n">
        <v>31.3153</v>
      </c>
      <c r="E27" s="0" t="s">
        <v>23</v>
      </c>
    </row>
    <row r="28" customFormat="false" ht="12.8" hidden="false" customHeight="false" outlineLevel="0" collapsed="false">
      <c r="B28" s="0" t="s">
        <v>32</v>
      </c>
      <c r="C28" s="0" t="s">
        <v>22</v>
      </c>
      <c r="D28" s="6" t="n">
        <v>117.3238</v>
      </c>
      <c r="E28" s="0" t="s">
        <v>23</v>
      </c>
    </row>
    <row r="29" customFormat="false" ht="12.8" hidden="false" customHeight="false" outlineLevel="0" collapsed="false">
      <c r="B29" s="0" t="s">
        <v>32</v>
      </c>
      <c r="C29" s="0" t="s">
        <v>24</v>
      </c>
      <c r="D29" s="6" t="n">
        <v>31.345</v>
      </c>
      <c r="E29" s="0" t="s">
        <v>23</v>
      </c>
    </row>
    <row r="30" customFormat="false" ht="12.8" hidden="false" customHeight="false" outlineLevel="0" collapsed="false">
      <c r="B30" s="0" t="s">
        <v>32</v>
      </c>
      <c r="C30" s="0" t="s">
        <v>25</v>
      </c>
      <c r="D30" s="6" t="n">
        <v>539.7884</v>
      </c>
      <c r="E30" s="0" t="s">
        <v>23</v>
      </c>
    </row>
    <row r="31" customFormat="false" ht="12.8" hidden="false" customHeight="false" outlineLevel="0" collapsed="false">
      <c r="B31" s="0" t="s">
        <v>32</v>
      </c>
      <c r="C31" s="7" t="s">
        <v>26</v>
      </c>
      <c r="D31" s="6" t="n">
        <v>111.768</v>
      </c>
      <c r="E31" s="0" t="s">
        <v>23</v>
      </c>
    </row>
    <row r="32" customFormat="false" ht="12.8" hidden="false" customHeight="false" outlineLevel="0" collapsed="false">
      <c r="B32" s="0" t="s">
        <v>33</v>
      </c>
      <c r="C32" s="7" t="s">
        <v>22</v>
      </c>
      <c r="D32" s="6" t="n">
        <v>1254.7</v>
      </c>
      <c r="E32" s="0" t="s">
        <v>23</v>
      </c>
    </row>
    <row r="33" customFormat="false" ht="12.8" hidden="false" customHeight="false" outlineLevel="0" collapsed="false">
      <c r="B33" s="0" t="s">
        <v>33</v>
      </c>
      <c r="C33" s="0" t="s">
        <v>24</v>
      </c>
      <c r="D33" s="6" t="n">
        <v>91.3316</v>
      </c>
      <c r="E33" s="0" t="s">
        <v>23</v>
      </c>
    </row>
    <row r="34" customFormat="false" ht="12.8" hidden="false" customHeight="false" outlineLevel="0" collapsed="false">
      <c r="B34" s="0" t="s">
        <v>33</v>
      </c>
      <c r="C34" s="0" t="s">
        <v>25</v>
      </c>
      <c r="D34" s="6" t="n">
        <v>38274.67</v>
      </c>
      <c r="E34" s="0" t="s">
        <v>23</v>
      </c>
    </row>
    <row r="35" customFormat="false" ht="12.8" hidden="false" customHeight="false" outlineLevel="0" collapsed="false">
      <c r="B35" s="0" t="s">
        <v>33</v>
      </c>
      <c r="C35" s="0" t="s">
        <v>26</v>
      </c>
      <c r="D35" s="6" t="n">
        <v>1434.36</v>
      </c>
      <c r="E35" s="0" t="s">
        <v>23</v>
      </c>
    </row>
    <row r="36" customFormat="false" ht="12.8" hidden="false" customHeight="false" outlineLevel="0" collapsed="false">
      <c r="B36" s="0" t="s">
        <v>34</v>
      </c>
      <c r="C36" s="7" t="s">
        <v>22</v>
      </c>
      <c r="D36" s="6" t="n">
        <v>31.0842</v>
      </c>
      <c r="E36" s="0" t="s">
        <v>23</v>
      </c>
    </row>
    <row r="37" customFormat="false" ht="12.8" hidden="false" customHeight="false" outlineLevel="0" collapsed="false">
      <c r="B37" s="0" t="s">
        <v>34</v>
      </c>
      <c r="C37" s="0" t="s">
        <v>24</v>
      </c>
      <c r="D37" s="6" t="n">
        <v>31.0683</v>
      </c>
      <c r="E37" s="0" t="s">
        <v>23</v>
      </c>
    </row>
    <row r="38" customFormat="false" ht="12.8" hidden="false" customHeight="false" outlineLevel="0" collapsed="false">
      <c r="B38" s="0" t="s">
        <v>34</v>
      </c>
      <c r="C38" s="0" t="s">
        <v>25</v>
      </c>
      <c r="D38" s="6" t="n">
        <v>31.1506</v>
      </c>
      <c r="E38" s="0" t="s">
        <v>23</v>
      </c>
    </row>
    <row r="39" customFormat="false" ht="12.8" hidden="false" customHeight="false" outlineLevel="0" collapsed="false">
      <c r="B39" s="0" t="s">
        <v>34</v>
      </c>
      <c r="C39" s="0" t="s">
        <v>26</v>
      </c>
      <c r="D39" s="6" t="n">
        <v>31.1743</v>
      </c>
      <c r="E39" s="0" t="s">
        <v>23</v>
      </c>
    </row>
    <row r="40" customFormat="false" ht="12.8" hidden="false" customHeight="false" outlineLevel="0" collapsed="false">
      <c r="B40" s="0" t="s">
        <v>35</v>
      </c>
      <c r="C40" s="7" t="s">
        <v>22</v>
      </c>
      <c r="D40" s="6" t="n">
        <v>31.3389</v>
      </c>
      <c r="E40" s="0" t="s">
        <v>23</v>
      </c>
    </row>
    <row r="41" customFormat="false" ht="12.8" hidden="false" customHeight="false" outlineLevel="0" collapsed="false">
      <c r="B41" s="0" t="s">
        <v>35</v>
      </c>
      <c r="C41" s="0" t="s">
        <v>24</v>
      </c>
      <c r="D41" s="6" t="n">
        <v>30.9995</v>
      </c>
      <c r="E41" s="0" t="s">
        <v>23</v>
      </c>
    </row>
    <row r="42" customFormat="false" ht="12.8" hidden="false" customHeight="false" outlineLevel="0" collapsed="false">
      <c r="B42" s="0" t="s">
        <v>35</v>
      </c>
      <c r="C42" s="0" t="s">
        <v>25</v>
      </c>
      <c r="D42" s="6" t="n">
        <v>31.3777</v>
      </c>
      <c r="E42" s="0" t="s">
        <v>23</v>
      </c>
    </row>
    <row r="43" customFormat="false" ht="12.8" hidden="false" customHeight="false" outlineLevel="0" collapsed="false">
      <c r="B43" s="0" t="s">
        <v>35</v>
      </c>
      <c r="C43" s="0" t="s">
        <v>26</v>
      </c>
      <c r="D43" s="6" t="n">
        <v>31.3475</v>
      </c>
      <c r="E43" s="0" t="s">
        <v>23</v>
      </c>
    </row>
    <row r="44" customFormat="false" ht="12.8" hidden="false" customHeight="false" outlineLevel="0" collapsed="false">
      <c r="B44" s="0" t="s">
        <v>36</v>
      </c>
      <c r="C44" s="7" t="s">
        <v>22</v>
      </c>
      <c r="D44" s="6" t="n">
        <v>62.5525</v>
      </c>
      <c r="E44" s="0" t="s">
        <v>23</v>
      </c>
    </row>
    <row r="45" customFormat="false" ht="12.8" hidden="false" customHeight="false" outlineLevel="0" collapsed="false">
      <c r="B45" s="0" t="s">
        <v>36</v>
      </c>
      <c r="C45" s="0" t="s">
        <v>24</v>
      </c>
      <c r="D45" s="6" t="n">
        <v>31.3277</v>
      </c>
      <c r="E45" s="0" t="s">
        <v>23</v>
      </c>
    </row>
    <row r="46" customFormat="false" ht="12.8" hidden="false" customHeight="false" outlineLevel="0" collapsed="false">
      <c r="B46" s="0" t="s">
        <v>36</v>
      </c>
      <c r="C46" s="0" t="s">
        <v>25</v>
      </c>
      <c r="D46" s="6" t="n">
        <v>64.805</v>
      </c>
      <c r="E46" s="0" t="s">
        <v>23</v>
      </c>
    </row>
    <row r="47" customFormat="false" ht="12.8" hidden="false" customHeight="false" outlineLevel="0" collapsed="false">
      <c r="B47" s="0" t="s">
        <v>36</v>
      </c>
      <c r="C47" s="0" t="s">
        <v>26</v>
      </c>
      <c r="D47" s="6" t="n">
        <v>73.4935</v>
      </c>
      <c r="E47" s="0" t="s">
        <v>23</v>
      </c>
    </row>
    <row r="48" customFormat="false" ht="12.8" hidden="false" customHeight="false" outlineLevel="0" collapsed="false">
      <c r="B48" s="0" t="s">
        <v>37</v>
      </c>
      <c r="C48" s="7" t="s">
        <v>22</v>
      </c>
      <c r="D48" s="6" t="n">
        <v>518.18</v>
      </c>
      <c r="E48" s="0" t="s">
        <v>23</v>
      </c>
    </row>
    <row r="49" customFormat="false" ht="12.8" hidden="false" customHeight="false" outlineLevel="0" collapsed="false">
      <c r="B49" s="0" t="s">
        <v>37</v>
      </c>
      <c r="C49" s="0" t="s">
        <v>24</v>
      </c>
      <c r="D49" s="6" t="n">
        <v>91.17</v>
      </c>
      <c r="E49" s="0" t="s">
        <v>23</v>
      </c>
    </row>
    <row r="50" customFormat="false" ht="12.8" hidden="false" customHeight="false" outlineLevel="0" collapsed="false">
      <c r="B50" s="0" t="s">
        <v>37</v>
      </c>
      <c r="C50" s="0" t="s">
        <v>25</v>
      </c>
      <c r="D50" s="6" t="n">
        <v>551.49</v>
      </c>
      <c r="E50" s="0" t="s">
        <v>23</v>
      </c>
    </row>
    <row r="51" customFormat="false" ht="12.8" hidden="false" customHeight="false" outlineLevel="0" collapsed="false">
      <c r="B51" s="0" t="s">
        <v>37</v>
      </c>
      <c r="C51" s="0" t="s">
        <v>26</v>
      </c>
      <c r="D51" s="6" t="n">
        <v>619.85</v>
      </c>
      <c r="E51" s="0" t="s">
        <v>23</v>
      </c>
    </row>
    <row r="52" customFormat="false" ht="12.8" hidden="false" customHeight="false" outlineLevel="0" collapsed="false">
      <c r="B52" s="0" t="s">
        <v>38</v>
      </c>
      <c r="C52" s="7" t="s">
        <v>22</v>
      </c>
      <c r="D52" s="6" t="n">
        <v>1.7735</v>
      </c>
      <c r="E52" s="0" t="s">
        <v>23</v>
      </c>
    </row>
    <row r="53" customFormat="false" ht="12.8" hidden="false" customHeight="false" outlineLevel="0" collapsed="false">
      <c r="B53" s="0" t="s">
        <v>38</v>
      </c>
      <c r="C53" s="0" t="s">
        <v>24</v>
      </c>
      <c r="D53" s="6" t="n">
        <v>1.0665</v>
      </c>
      <c r="E53" s="0" t="s">
        <v>23</v>
      </c>
    </row>
    <row r="54" customFormat="false" ht="12.8" hidden="false" customHeight="false" outlineLevel="0" collapsed="false">
      <c r="B54" s="0" t="s">
        <v>38</v>
      </c>
      <c r="C54" s="0" t="s">
        <v>25</v>
      </c>
      <c r="D54" s="6" t="n">
        <v>1.7781</v>
      </c>
      <c r="E54" s="0" t="s">
        <v>23</v>
      </c>
    </row>
    <row r="55" customFormat="false" ht="12.8" hidden="false" customHeight="false" outlineLevel="0" collapsed="false">
      <c r="B55" s="0" t="s">
        <v>38</v>
      </c>
      <c r="C55" s="0" t="s">
        <v>26</v>
      </c>
      <c r="D55" s="6" t="n">
        <v>1.8049</v>
      </c>
      <c r="E55" s="0" t="s">
        <v>23</v>
      </c>
    </row>
    <row r="56" customFormat="false" ht="12.8" hidden="false" customHeight="false" outlineLevel="0" collapsed="false">
      <c r="B56" s="0" t="s">
        <v>39</v>
      </c>
      <c r="C56" s="0" t="s">
        <v>22</v>
      </c>
      <c r="D56" s="6" t="n">
        <v>18.3212</v>
      </c>
      <c r="E56" s="0" t="s">
        <v>23</v>
      </c>
    </row>
    <row r="57" customFormat="false" ht="12.8" hidden="false" customHeight="false" outlineLevel="0" collapsed="false">
      <c r="B57" s="0" t="s">
        <v>39</v>
      </c>
      <c r="C57" s="0" t="s">
        <v>24</v>
      </c>
      <c r="D57" s="6" t="n">
        <v>10.6697</v>
      </c>
      <c r="E57" s="0" t="s">
        <v>23</v>
      </c>
    </row>
    <row r="58" customFormat="false" ht="12.8" hidden="false" customHeight="false" outlineLevel="0" collapsed="false">
      <c r="B58" s="0" t="s">
        <v>39</v>
      </c>
      <c r="C58" s="7" t="s">
        <v>25</v>
      </c>
      <c r="D58" s="6" t="n">
        <v>18.1309</v>
      </c>
      <c r="E58" s="0" t="s">
        <v>23</v>
      </c>
    </row>
    <row r="59" customFormat="false" ht="12.8" hidden="false" customHeight="false" outlineLevel="0" collapsed="false">
      <c r="B59" s="0" t="s">
        <v>39</v>
      </c>
      <c r="C59" s="0" t="s">
        <v>26</v>
      </c>
      <c r="D59" s="6" t="n">
        <v>18.9478</v>
      </c>
      <c r="E59" s="0" t="s">
        <v>23</v>
      </c>
    </row>
    <row r="60" customFormat="false" ht="12.8" hidden="false" customHeight="false" outlineLevel="0" collapsed="false">
      <c r="B60" s="0" t="s">
        <v>40</v>
      </c>
      <c r="C60" s="0" t="s">
        <v>22</v>
      </c>
      <c r="D60" s="6" t="n">
        <v>170.5074</v>
      </c>
      <c r="E60" s="0" t="s">
        <v>23</v>
      </c>
    </row>
    <row r="61" customFormat="false" ht="12.8" hidden="false" customHeight="false" outlineLevel="0" collapsed="false">
      <c r="B61" s="0" t="s">
        <v>40</v>
      </c>
      <c r="C61" s="0" t="s">
        <v>24</v>
      </c>
      <c r="D61" s="6" t="n">
        <v>106.8034</v>
      </c>
      <c r="E61" s="0" t="s">
        <v>23</v>
      </c>
    </row>
    <row r="62" customFormat="false" ht="12.8" hidden="false" customHeight="false" outlineLevel="0" collapsed="false">
      <c r="B62" s="0" t="s">
        <v>40</v>
      </c>
      <c r="C62" s="7" t="s">
        <v>25</v>
      </c>
      <c r="D62" s="6" t="n">
        <v>163.883</v>
      </c>
      <c r="E62" s="0" t="s">
        <v>23</v>
      </c>
    </row>
    <row r="63" customFormat="false" ht="12.8" hidden="false" customHeight="false" outlineLevel="0" collapsed="false">
      <c r="B63" s="0" t="s">
        <v>40</v>
      </c>
      <c r="C63" s="0" t="s">
        <v>26</v>
      </c>
      <c r="D63" s="6" t="n">
        <v>176.5285</v>
      </c>
      <c r="E63" s="0" t="s">
        <v>23</v>
      </c>
    </row>
    <row r="64" customFormat="false" ht="12.8" hidden="false" customHeight="false" outlineLevel="0" collapsed="false">
      <c r="B64" s="0" t="s">
        <v>41</v>
      </c>
      <c r="C64" s="7" t="s">
        <v>22</v>
      </c>
      <c r="D64" s="6" t="n">
        <v>1616.27</v>
      </c>
      <c r="E64" s="0" t="s">
        <v>23</v>
      </c>
    </row>
    <row r="65" customFormat="false" ht="12.8" hidden="false" customHeight="false" outlineLevel="0" collapsed="false">
      <c r="B65" s="0" t="s">
        <v>41</v>
      </c>
      <c r="C65" s="0" t="s">
        <v>24</v>
      </c>
      <c r="D65" s="6" t="n">
        <v>1064.71</v>
      </c>
      <c r="E65" s="0" t="s">
        <v>23</v>
      </c>
    </row>
    <row r="66" customFormat="false" ht="12.8" hidden="false" customHeight="false" outlineLevel="0" collapsed="false">
      <c r="B66" s="0" t="s">
        <v>41</v>
      </c>
      <c r="C66" s="0" t="s">
        <v>25</v>
      </c>
      <c r="D66" s="6" t="n">
        <v>1632.41</v>
      </c>
      <c r="E66" s="0" t="s">
        <v>23</v>
      </c>
    </row>
    <row r="67" customFormat="false" ht="12.8" hidden="false" customHeight="false" outlineLevel="0" collapsed="false">
      <c r="B67" s="0" t="s">
        <v>41</v>
      </c>
      <c r="C67" s="0" t="s">
        <v>26</v>
      </c>
      <c r="D67" s="6" t="n">
        <v>1711.41</v>
      </c>
      <c r="E67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2025-12-08T16:36:54Z</dcterms:created>
  <dc:creator/>
  <dc:description/>
  <dc:language>ja-JP</dc:language>
  <cp:lastModifiedBy/>
  <dcterms:modified xsi:type="dcterms:W3CDTF">2025-12-09T10:14:30Z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